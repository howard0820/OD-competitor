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績對照" sheetId="1" r:id="rId5"/>
  </sheets>
  <definedNames/>
  <calcPr/>
</workbook>
</file>

<file path=xl/sharedStrings.xml><?xml version="1.0" encoding="utf-8"?>
<sst xmlns="http://schemas.openxmlformats.org/spreadsheetml/2006/main" count="162" uniqueCount="142">
  <si>
    <t>大勝 (+ 20%)</t>
  </si>
  <si>
    <t>小勝 (+ 0-20%)</t>
  </si>
  <si>
    <t>小負 (- 0-20%)</t>
  </si>
  <si>
    <t>大負 (- 20%)</t>
  </si>
  <si>
    <t>OWNDAYS門市</t>
  </si>
  <si>
    <t>鄰近Jins門市</t>
  </si>
  <si>
    <t>2026 Apr 1-16 3pm</t>
  </si>
  <si>
    <t>2026 Mar</t>
  </si>
  <si>
    <t>2026 Feb</t>
  </si>
  <si>
    <t>2026 Jan</t>
  </si>
  <si>
    <t>Draft Discussion: Top 15 Stores Incentives</t>
  </si>
  <si>
    <t>編號</t>
  </si>
  <si>
    <t>名稱</t>
  </si>
  <si>
    <t>OWNDAYS業績</t>
  </si>
  <si>
    <t>OWNDAYS MoM (est.)</t>
  </si>
  <si>
    <t>Jins業績</t>
  </si>
  <si>
    <t>Jins MoM (est.)</t>
  </si>
  <si>
    <t>MoM Trend</t>
  </si>
  <si>
    <t>OWNDAYS</t>
  </si>
  <si>
    <t>Jins</t>
  </si>
  <si>
    <t>Delta$</t>
  </si>
  <si>
    <t>Delta%</t>
  </si>
  <si>
    <t>與Jins Delta進步值 (p.p.)</t>
  </si>
  <si>
    <t>全店每人$</t>
  </si>
  <si>
    <t>No.</t>
  </si>
  <si>
    <t>3月實際</t>
  </si>
  <si>
    <t>漢神巨蛋</t>
  </si>
  <si>
    <t>JINS漢神巨蛋</t>
  </si>
  <si>
    <t>10 p.p.</t>
  </si>
  <si>
    <t>新竹巨城</t>
  </si>
  <si>
    <t>JINS新竹Big city店</t>
  </si>
  <si>
    <t>20 p.p.</t>
  </si>
  <si>
    <t>Mitsui outlet park 林口</t>
  </si>
  <si>
    <t>JINS林口三井店</t>
  </si>
  <si>
    <t>30 p.p.</t>
  </si>
  <si>
    <t>南西</t>
  </si>
  <si>
    <t>JINS三越南西店</t>
  </si>
  <si>
    <t>40 p.p.</t>
  </si>
  <si>
    <t>大江購物中心</t>
  </si>
  <si>
    <t>JINS桃園中歴SOGO店</t>
  </si>
  <si>
    <t>50 p.p.</t>
  </si>
  <si>
    <t>南紡購物中心</t>
  </si>
  <si>
    <t>JINS南紡購物中心店</t>
  </si>
  <si>
    <t>高雄夢時代</t>
  </si>
  <si>
    <t>JINS高雄夢時代店</t>
  </si>
  <si>
    <t>美麗華</t>
  </si>
  <si>
    <t>JINS美麗華摩天輪店</t>
  </si>
  <si>
    <t>基隆東岸廣場</t>
  </si>
  <si>
    <t>JINS基隆MOYA店</t>
  </si>
  <si>
    <t>lalaport南港</t>
  </si>
  <si>
    <t>RIM台北南港lalaport店</t>
  </si>
  <si>
    <t>台北忠孝SOGO</t>
  </si>
  <si>
    <t>JINS太平洋崇光忠孝復興店</t>
  </si>
  <si>
    <t>新光三越信義A11</t>
  </si>
  <si>
    <t>JINS新光三越信義A8店</t>
  </si>
  <si>
    <t>新店家樂福</t>
  </si>
  <si>
    <t>JINS誠品新店</t>
  </si>
  <si>
    <t>台北天母SOGO</t>
  </si>
  <si>
    <t>JINS高島屋天母店</t>
  </si>
  <si>
    <t>花蓮遠百</t>
  </si>
  <si>
    <t>JINS花蓮中山店</t>
  </si>
  <si>
    <t>新光三越台南小西門</t>
  </si>
  <si>
    <t>JINS新光三越台南西門店</t>
  </si>
  <si>
    <t>LaLaport台中</t>
  </si>
  <si>
    <t>RIM台中三井lalaport店</t>
  </si>
  <si>
    <t>京站</t>
  </si>
  <si>
    <t>JINSQ'Sスクエア店</t>
  </si>
  <si>
    <t>忠孝敦化</t>
  </si>
  <si>
    <t>JINS台北敦化路面店</t>
  </si>
  <si>
    <t>台茂購物中心</t>
  </si>
  <si>
    <t>JINS台茂購物中心店</t>
  </si>
  <si>
    <t>西門漢中</t>
  </si>
  <si>
    <t>JINS誠品武昌店</t>
  </si>
  <si>
    <t>秀泰樹林</t>
  </si>
  <si>
    <t>JINS秀泰樹林店</t>
  </si>
  <si>
    <t/>
  </si>
  <si>
    <t>秀泰嘉義</t>
  </si>
  <si>
    <t>JINS耐斯廣場購物中心店</t>
  </si>
  <si>
    <t>新莊宏匯</t>
  </si>
  <si>
    <t>JINS宏匯廣場店</t>
  </si>
  <si>
    <t>勤美誠品</t>
  </si>
  <si>
    <t>JINS誠品綠園道店</t>
  </si>
  <si>
    <t>微風 台北車站</t>
  </si>
  <si>
    <t>JINS三越台北駅前店</t>
  </si>
  <si>
    <t>淡水</t>
  </si>
  <si>
    <t>JINS淡水英專店</t>
  </si>
  <si>
    <t>桃園ATT</t>
  </si>
  <si>
    <t>JINS新光三越桃園店</t>
  </si>
  <si>
    <t>環球板橋</t>
  </si>
  <si>
    <t>JINS三猿広場店</t>
  </si>
  <si>
    <t>JINS板橋大遠百店</t>
  </si>
  <si>
    <t>JC PARK新莊</t>
  </si>
  <si>
    <t>JINSJCPARK新莊幸福店</t>
  </si>
  <si>
    <t>新竹大魯閣</t>
  </si>
  <si>
    <t>JINS新竹湳雅店</t>
  </si>
  <si>
    <t>統一夢廣場</t>
  </si>
  <si>
    <t>JINS統一阪急台北店</t>
  </si>
  <si>
    <t>遠百竹北</t>
  </si>
  <si>
    <t>JINS遠東新世紀購物中心店</t>
  </si>
  <si>
    <t>ATT 4 FUN</t>
  </si>
  <si>
    <t>JINSatre微風南山店</t>
  </si>
  <si>
    <t>新光三越台中中港</t>
  </si>
  <si>
    <t>JINS三越台中中港店</t>
  </si>
  <si>
    <t>新光三越高雄左營</t>
  </si>
  <si>
    <t>JINS新光三越高雄左營店</t>
  </si>
  <si>
    <t>經國家樂福</t>
  </si>
  <si>
    <t>JINSJCPARK桃園春日館店</t>
  </si>
  <si>
    <t>台中中友</t>
  </si>
  <si>
    <t>JINS台中中友店</t>
  </si>
  <si>
    <t>三重佳瑪</t>
  </si>
  <si>
    <t>JINS新北三重路面店</t>
  </si>
  <si>
    <t>板橋府中</t>
  </si>
  <si>
    <t>JINS誠品板橋府中店</t>
  </si>
  <si>
    <t>台中新時代</t>
  </si>
  <si>
    <t>JINS大魯閣新時代店</t>
  </si>
  <si>
    <t>高雄義享</t>
  </si>
  <si>
    <t>JINS高雄義享店</t>
  </si>
  <si>
    <t>屏東車站</t>
  </si>
  <si>
    <t>JINS環球購物中心屏東店</t>
  </si>
  <si>
    <t>新月廣場</t>
  </si>
  <si>
    <t>JINS新月廣場宜蘭店</t>
  </si>
  <si>
    <t>高雄SKM Park</t>
  </si>
  <si>
    <t>JINS高雄草街道店</t>
  </si>
  <si>
    <t>頭份大全聯</t>
  </si>
  <si>
    <t>JINS尚順購物中心店</t>
  </si>
  <si>
    <t>京站小碧潭</t>
  </si>
  <si>
    <t>JINSIKEA新店小碧潭店</t>
  </si>
  <si>
    <t>站前秀泰</t>
  </si>
  <si>
    <t>JINS台中秀泰店</t>
  </si>
  <si>
    <t>環球桃園A8店</t>
  </si>
  <si>
    <t>JINS環球桃園A8店</t>
  </si>
  <si>
    <t>台南FOCUS</t>
  </si>
  <si>
    <t>JINS台南中山店</t>
  </si>
  <si>
    <t>新光三越嘉義</t>
  </si>
  <si>
    <t>JINS嘉義遠東店</t>
  </si>
  <si>
    <t>環球中和</t>
  </si>
  <si>
    <t>JINS環球購物中心中和店</t>
  </si>
  <si>
    <t>NA</t>
  </si>
  <si>
    <t>大巨蛋SOGO</t>
  </si>
  <si>
    <t>JINS台北大巨蛋店</t>
  </si>
  <si>
    <t>MITSUI OUTLET PARK 台南</t>
  </si>
  <si>
    <t>JINSMITSUI OUTLET PARK 台南三井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</si>
</sst>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sz val="12.0"/>
      <color theme="1"/>
      <name val="Outfit"/>
    </font>
    <font>
      <sz val="12.0"/>
      <color rgb="FF1F1F1F"/>
      <name val="Outfit"/>
    </font>
    <font>
      <b/>
      <sz val="12.0"/>
      <color rgb="FFFFFFFF"/>
      <name val="Outfit"/>
    </font>
    <font/>
    <font>
      <b/>
      <sz val="12.0"/>
      <color theme="1"/>
      <name val="Outfit"/>
    </font>
  </fonts>
  <fills count="9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D00707"/>
        <bgColor rgb="FFD00707"/>
      </patternFill>
    </fill>
    <fill>
      <patternFill patternType="solid">
        <fgColor rgb="FF434343"/>
        <bgColor rgb="FF434343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666666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3" fillId="2" fontId="1" numFmtId="0" xfId="0" applyAlignment="1" applyBorder="1" applyFill="1" applyFont="1">
      <alignment readingOrder="0"/>
    </xf>
    <xf borderId="3" fillId="0" fontId="2" numFmtId="3" xfId="0" applyAlignment="1" applyBorder="1" applyFont="1" applyNumberFormat="1">
      <alignment horizontal="right"/>
    </xf>
    <xf borderId="4" fillId="0" fontId="1" numFmtId="0" xfId="0" applyBorder="1" applyFont="1"/>
    <xf borderId="5" fillId="0" fontId="1" numFmtId="0" xfId="0" applyBorder="1" applyFont="1"/>
    <xf borderId="3" fillId="3" fontId="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6" fillId="0" fontId="1" numFmtId="0" xfId="0" applyBorder="1" applyFont="1"/>
    <xf borderId="7" fillId="6" fontId="3" numFmtId="0" xfId="0" applyAlignment="1" applyBorder="1" applyFill="1" applyFont="1">
      <alignment horizontal="center" readingOrder="0"/>
    </xf>
    <xf borderId="8" fillId="0" fontId="4" numFmtId="0" xfId="0" applyBorder="1" applyFont="1"/>
    <xf borderId="7" fillId="7" fontId="3" numFmtId="0" xfId="0" applyAlignment="1" applyBorder="1" applyFill="1" applyFont="1">
      <alignment horizontal="center" readingOrder="0"/>
    </xf>
    <xf borderId="7" fillId="8" fontId="3" numFmtId="0" xfId="0" applyAlignment="1" applyBorder="1" applyFill="1" applyFont="1">
      <alignment horizontal="center" readingOrder="0"/>
    </xf>
    <xf borderId="9" fillId="0" fontId="4" numFmtId="0" xfId="0" applyBorder="1" applyFont="1"/>
    <xf borderId="2" fillId="0" fontId="5" numFmtId="0" xfId="0" applyAlignment="1" applyBorder="1" applyFont="1">
      <alignment readingOrder="0"/>
    </xf>
    <xf borderId="10" fillId="6" fontId="3" numFmtId="0" xfId="0" applyAlignment="1" applyBorder="1" applyFont="1">
      <alignment horizontal="center" readingOrder="0"/>
    </xf>
    <xf borderId="10" fillId="6" fontId="3" numFmtId="3" xfId="0" applyAlignment="1" applyBorder="1" applyFont="1" applyNumberFormat="1">
      <alignment horizontal="center" readingOrder="0"/>
    </xf>
    <xf borderId="10" fillId="7" fontId="3" numFmtId="0" xfId="0" applyAlignment="1" applyBorder="1" applyFont="1">
      <alignment horizontal="center" readingOrder="0"/>
    </xf>
    <xf borderId="10" fillId="7" fontId="3" numFmtId="3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10" fillId="0" fontId="1" numFmtId="3" xfId="0" applyAlignment="1" applyBorder="1" applyFont="1" applyNumberFormat="1">
      <alignment readingOrder="0"/>
    </xf>
    <xf borderId="10" fillId="0" fontId="2" numFmtId="3" xfId="0" applyAlignment="1" applyBorder="1" applyFont="1" applyNumberFormat="1">
      <alignment horizontal="right"/>
    </xf>
    <xf borderId="10" fillId="0" fontId="2" numFmtId="164" xfId="0" applyAlignment="1" applyBorder="1" applyFont="1" applyNumberFormat="1">
      <alignment horizontal="right"/>
    </xf>
    <xf borderId="10" fillId="0" fontId="1" numFmtId="3" xfId="0" applyAlignment="1" applyBorder="1" applyFont="1" applyNumberFormat="1">
      <alignment horizontal="right"/>
    </xf>
    <xf borderId="3" fillId="0" fontId="1" numFmtId="3" xfId="0" applyAlignment="1" applyBorder="1" applyFont="1" applyNumberFormat="1">
      <alignment horizontal="center" readingOrder="0"/>
    </xf>
    <xf borderId="5" fillId="0" fontId="1" numFmtId="3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6" fillId="0" fontId="1" numFmtId="3" xfId="0" applyAlignment="1" applyBorder="1" applyFont="1" applyNumberFormat="1">
      <alignment readingOrder="0"/>
    </xf>
    <xf borderId="10" fillId="0" fontId="2" numFmtId="3" xfId="0" applyAlignment="1" applyBorder="1" applyFont="1" applyNumberFormat="1">
      <alignment horizontal="right" readingOrder="0"/>
    </xf>
    <xf borderId="10" fillId="0" fontId="1" numFmtId="3" xfId="0" applyAlignment="1" applyBorder="1" applyFont="1" applyNumberFormat="1">
      <alignment horizontal="right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readingOrder="0"/>
    </xf>
    <xf borderId="11" fillId="0" fontId="1" numFmtId="3" xfId="0" applyAlignment="1" applyBorder="1" applyFont="1" applyNumberFormat="1">
      <alignment readingOrder="0"/>
    </xf>
    <xf borderId="11" fillId="0" fontId="2" numFmtId="3" xfId="0" applyAlignment="1" applyBorder="1" applyFont="1" applyNumberFormat="1">
      <alignment horizontal="right" readingOrder="0"/>
    </xf>
    <xf borderId="11" fillId="0" fontId="2" numFmtId="3" xfId="0" applyAlignment="1" applyBorder="1" applyFont="1" applyNumberFormat="1">
      <alignment horizontal="right"/>
    </xf>
    <xf borderId="11" fillId="0" fontId="2" numFmtId="164" xfId="0" applyAlignment="1" applyBorder="1" applyFont="1" applyNumberFormat="1">
      <alignment horizontal="right"/>
    </xf>
    <xf borderId="11" fillId="0" fontId="1" numFmtId="3" xfId="0" applyAlignment="1" applyBorder="1" applyFont="1" applyNumberFormat="1">
      <alignment horizontal="right"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12" fillId="0" fontId="2" numFmtId="3" xfId="0" applyAlignment="1" applyBorder="1" applyFont="1" applyNumberFormat="1">
      <alignment horizontal="right"/>
    </xf>
    <xf borderId="12" fillId="0" fontId="1" numFmtId="0" xfId="0" applyBorder="1" applyFont="1"/>
    <xf borderId="6" fillId="0" fontId="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Col="1"/>
  <cols>
    <col customWidth="1" min="1" max="1" width="6.13"/>
    <col customWidth="1" min="2" max="2" width="10.13"/>
    <col customWidth="1" min="3" max="3" width="27.63"/>
    <col customWidth="1" min="4" max="4" width="10.13"/>
    <col customWidth="1" min="5" max="5" width="32.88"/>
    <col customWidth="1" min="6" max="22" width="13.88"/>
    <col collapsed="1" min="23" max="23" width="12.63"/>
    <col customWidth="1" hidden="1" min="24" max="24" width="27.13" outlineLevel="1"/>
    <col customWidth="1" hidden="1" min="25" max="25" width="16.63" outlineLevel="1"/>
  </cols>
  <sheetData>
    <row r="1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1"/>
      <c r="T1" s="1"/>
      <c r="U1" s="3"/>
      <c r="V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2"/>
      <c r="C2" s="1"/>
      <c r="D2" s="2"/>
      <c r="E2" s="1"/>
      <c r="F2" s="1"/>
      <c r="G2" s="1"/>
      <c r="H2" s="1"/>
      <c r="I2" s="1"/>
      <c r="J2" s="1"/>
      <c r="K2" s="1"/>
      <c r="L2" s="1"/>
      <c r="M2" s="4" t="s">
        <v>0</v>
      </c>
      <c r="N2" s="5">
        <f>COUNTIF(N9:N62, "&gt;=20%")</f>
        <v>0</v>
      </c>
      <c r="O2" s="1"/>
      <c r="P2" s="6"/>
      <c r="Q2" s="4" t="s">
        <v>0</v>
      </c>
      <c r="R2" s="5">
        <f>COUNTIF(R9:R62, "&gt;=20%")</f>
        <v>10</v>
      </c>
      <c r="S2" s="7"/>
      <c r="T2" s="6"/>
      <c r="U2" s="4" t="s">
        <v>0</v>
      </c>
      <c r="V2" s="5">
        <f>COUNTIF(V9:V62, "&gt;=20%")</f>
        <v>9</v>
      </c>
      <c r="W2" s="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2"/>
      <c r="C3" s="1"/>
      <c r="D3" s="2"/>
      <c r="E3" s="1"/>
      <c r="F3" s="1"/>
      <c r="G3" s="1"/>
      <c r="H3" s="1"/>
      <c r="I3" s="1"/>
      <c r="J3" s="1"/>
      <c r="K3" s="1"/>
      <c r="L3" s="1"/>
      <c r="M3" s="8" t="s">
        <v>1</v>
      </c>
      <c r="N3" s="5">
        <f>COUNTIFS(N9:N62, "&gt;=0%", N9:N62, "&lt;20%")</f>
        <v>0</v>
      </c>
      <c r="O3" s="1"/>
      <c r="P3" s="6"/>
      <c r="Q3" s="8" t="s">
        <v>1</v>
      </c>
      <c r="R3" s="5">
        <f>COUNTIFS(R9:R62, "&gt;=0%", R9:R62, "&lt;20%")</f>
        <v>9</v>
      </c>
      <c r="S3" s="7"/>
      <c r="T3" s="6"/>
      <c r="U3" s="8" t="s">
        <v>1</v>
      </c>
      <c r="V3" s="5">
        <f>COUNTIFS(V9:V62, "&gt;=0%", V9:V62, "&lt;20%")</f>
        <v>8</v>
      </c>
      <c r="W3" s="7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2"/>
      <c r="C4" s="1"/>
      <c r="D4" s="2"/>
      <c r="E4" s="1"/>
      <c r="F4" s="1"/>
      <c r="G4" s="1"/>
      <c r="H4" s="1"/>
      <c r="I4" s="1"/>
      <c r="J4" s="1"/>
      <c r="K4" s="1"/>
      <c r="L4" s="1"/>
      <c r="M4" s="9" t="s">
        <v>2</v>
      </c>
      <c r="N4" s="5">
        <f>COUNTIFS(N9:N62, "&lt;0%", N9:N62, "&gt;=-20%")</f>
        <v>0</v>
      </c>
      <c r="O4" s="1"/>
      <c r="P4" s="6"/>
      <c r="Q4" s="9" t="s">
        <v>2</v>
      </c>
      <c r="R4" s="5">
        <f>COUNTIFS(R9:R62, "&lt;0%", R9:R62, "&gt;=-20%")</f>
        <v>10</v>
      </c>
      <c r="S4" s="7"/>
      <c r="T4" s="6"/>
      <c r="U4" s="9" t="s">
        <v>2</v>
      </c>
      <c r="V4" s="5">
        <f>COUNTIFS(V9:V62, "&lt;0%", V9:V62, "&gt;=-20%")</f>
        <v>8</v>
      </c>
      <c r="W4" s="7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2"/>
      <c r="C5" s="1"/>
      <c r="D5" s="2"/>
      <c r="E5" s="1"/>
      <c r="F5" s="1"/>
      <c r="G5" s="1"/>
      <c r="H5" s="1"/>
      <c r="I5" s="1"/>
      <c r="J5" s="1"/>
      <c r="K5" s="1"/>
      <c r="L5" s="1"/>
      <c r="M5" s="10" t="s">
        <v>3</v>
      </c>
      <c r="N5" s="5">
        <f>COUNTIF(N9:N62, "&lt;-20%")</f>
        <v>0</v>
      </c>
      <c r="O5" s="1"/>
      <c r="P5" s="6"/>
      <c r="Q5" s="10" t="s">
        <v>3</v>
      </c>
      <c r="R5" s="5">
        <f>COUNTIF(R9:R62, "&lt;-20%")</f>
        <v>25</v>
      </c>
      <c r="S5" s="7"/>
      <c r="T5" s="6"/>
      <c r="U5" s="10" t="s">
        <v>3</v>
      </c>
      <c r="V5" s="5">
        <f>COUNTIF(V9:V62, "&lt;-20%")</f>
        <v>28</v>
      </c>
      <c r="W5" s="7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1"/>
      <c r="B6" s="2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1"/>
      <c r="R6" s="11"/>
      <c r="S6" s="1"/>
      <c r="T6" s="1"/>
      <c r="U6" s="11"/>
      <c r="V6" s="1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12" t="s">
        <v>4</v>
      </c>
      <c r="C7" s="13"/>
      <c r="D7" s="14" t="s">
        <v>5</v>
      </c>
      <c r="E7" s="13"/>
      <c r="F7" s="15" t="s">
        <v>6</v>
      </c>
      <c r="G7" s="16"/>
      <c r="H7" s="16"/>
      <c r="I7" s="16"/>
      <c r="J7" s="13"/>
      <c r="K7" s="15" t="s">
        <v>7</v>
      </c>
      <c r="L7" s="16"/>
      <c r="M7" s="16"/>
      <c r="N7" s="13"/>
      <c r="O7" s="15" t="s">
        <v>8</v>
      </c>
      <c r="P7" s="16"/>
      <c r="Q7" s="16"/>
      <c r="R7" s="13"/>
      <c r="S7" s="15" t="s">
        <v>9</v>
      </c>
      <c r="T7" s="16"/>
      <c r="U7" s="16"/>
      <c r="V7" s="13"/>
      <c r="W7" s="1"/>
      <c r="X7" s="17" t="s">
        <v>10</v>
      </c>
      <c r="Y7" s="3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"/>
      <c r="B8" s="18" t="s">
        <v>11</v>
      </c>
      <c r="C8" s="19" t="s">
        <v>12</v>
      </c>
      <c r="D8" s="20" t="s">
        <v>11</v>
      </c>
      <c r="E8" s="21" t="s">
        <v>12</v>
      </c>
      <c r="F8" s="18" t="s">
        <v>13</v>
      </c>
      <c r="G8" s="18" t="s">
        <v>14</v>
      </c>
      <c r="H8" s="20" t="s">
        <v>15</v>
      </c>
      <c r="I8" s="20" t="s">
        <v>16</v>
      </c>
      <c r="J8" s="22" t="s">
        <v>17</v>
      </c>
      <c r="K8" s="18" t="s">
        <v>18</v>
      </c>
      <c r="L8" s="20" t="s">
        <v>19</v>
      </c>
      <c r="M8" s="22" t="s">
        <v>20</v>
      </c>
      <c r="N8" s="22" t="s">
        <v>21</v>
      </c>
      <c r="O8" s="18" t="s">
        <v>18</v>
      </c>
      <c r="P8" s="20" t="s">
        <v>19</v>
      </c>
      <c r="Q8" s="22" t="s">
        <v>20</v>
      </c>
      <c r="R8" s="22" t="s">
        <v>21</v>
      </c>
      <c r="S8" s="18" t="s">
        <v>18</v>
      </c>
      <c r="T8" s="20" t="s">
        <v>19</v>
      </c>
      <c r="U8" s="22" t="s">
        <v>20</v>
      </c>
      <c r="V8" s="22" t="s">
        <v>21</v>
      </c>
      <c r="W8" s="6"/>
      <c r="X8" s="23" t="s">
        <v>22</v>
      </c>
      <c r="Y8" s="23" t="s">
        <v>23</v>
      </c>
      <c r="Z8" s="7"/>
      <c r="AA8" s="24" t="s">
        <v>24</v>
      </c>
      <c r="AB8" s="24" t="s">
        <v>25</v>
      </c>
      <c r="AC8" s="1"/>
      <c r="AD8" s="1"/>
      <c r="AE8" s="1"/>
      <c r="AF8" s="1"/>
      <c r="AG8" s="1"/>
      <c r="AH8" s="1"/>
      <c r="AI8" s="1"/>
      <c r="AJ8" s="1"/>
      <c r="AK8" s="1"/>
      <c r="AL8" s="1"/>
    </row>
    <row r="9">
      <c r="A9" s="1"/>
      <c r="B9" s="25">
        <v>930.0</v>
      </c>
      <c r="C9" s="26" t="s">
        <v>26</v>
      </c>
      <c r="D9" s="25">
        <v>85064.0</v>
      </c>
      <c r="E9" s="27" t="s">
        <v>27</v>
      </c>
      <c r="F9" s="28"/>
      <c r="G9" s="28"/>
      <c r="H9" s="28"/>
      <c r="I9" s="28"/>
      <c r="J9" s="28"/>
      <c r="K9" s="28">
        <f t="shared" ref="K9:K60" si="1">index(AB:AB,match(B9,AA:AA,0))</f>
        <v>4830438</v>
      </c>
      <c r="L9" s="28" t="str">
        <f t="shared" ref="L9:L63" si="2">index(Jins_Mar!C:C,match(D9,Jins_Mar!A:A,0))</f>
        <v>#REF!</v>
      </c>
      <c r="M9" s="28" t="str">
        <f t="shared" ref="M9:M62" si="3">iferror(K9-L9,"NA")</f>
        <v>NA</v>
      </c>
      <c r="N9" s="29" t="str">
        <f t="shared" ref="N9:N62" si="4">iferror(K9/L9-1,"")</f>
        <v/>
      </c>
      <c r="O9" s="28">
        <v>6066324.0</v>
      </c>
      <c r="P9" s="28">
        <v>4518911.0</v>
      </c>
      <c r="Q9" s="28">
        <f t="shared" ref="Q9:Q62" si="5">iferror(O9-P9,"NA")</f>
        <v>1547413</v>
      </c>
      <c r="R9" s="29">
        <f t="shared" ref="R9:R62" si="6">iferror(O9/P9-1,"")</f>
        <v>0.3424305104</v>
      </c>
      <c r="S9" s="30">
        <v>5095327.0</v>
      </c>
      <c r="T9" s="28">
        <v>4210981.0</v>
      </c>
      <c r="U9" s="28">
        <f t="shared" ref="U9:U62" si="7">iferror(S9-T9,"NA")</f>
        <v>884346</v>
      </c>
      <c r="V9" s="29">
        <f t="shared" ref="V9:V62" si="8">iferror(S9/T9-1,"")</f>
        <v>0.2100094966</v>
      </c>
      <c r="W9" s="6"/>
      <c r="X9" s="31" t="s">
        <v>28</v>
      </c>
      <c r="Y9" s="31">
        <v>1000.0</v>
      </c>
      <c r="Z9" s="32"/>
      <c r="AA9" s="33">
        <v>940.0</v>
      </c>
      <c r="AB9" s="33">
        <v>4917697.0</v>
      </c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1"/>
      <c r="B10" s="25">
        <v>940.0</v>
      </c>
      <c r="C10" s="26" t="s">
        <v>29</v>
      </c>
      <c r="D10" s="25">
        <v>85031.0</v>
      </c>
      <c r="E10" s="27" t="s">
        <v>30</v>
      </c>
      <c r="F10" s="28"/>
      <c r="G10" s="28"/>
      <c r="H10" s="28"/>
      <c r="I10" s="28"/>
      <c r="J10" s="28"/>
      <c r="K10" s="28">
        <f t="shared" si="1"/>
        <v>4917697</v>
      </c>
      <c r="L10" s="28" t="str">
        <f t="shared" si="2"/>
        <v>#REF!</v>
      </c>
      <c r="M10" s="28" t="str">
        <f t="shared" si="3"/>
        <v>NA</v>
      </c>
      <c r="N10" s="29" t="str">
        <f t="shared" si="4"/>
        <v/>
      </c>
      <c r="O10" s="28">
        <v>5499253.0</v>
      </c>
      <c r="P10" s="28">
        <v>5272015.0</v>
      </c>
      <c r="Q10" s="28">
        <f t="shared" si="5"/>
        <v>227238</v>
      </c>
      <c r="R10" s="29">
        <f t="shared" si="6"/>
        <v>0.04310268465</v>
      </c>
      <c r="S10" s="30">
        <v>4541934.0</v>
      </c>
      <c r="T10" s="28">
        <v>3959174.0</v>
      </c>
      <c r="U10" s="28">
        <f t="shared" si="7"/>
        <v>582760</v>
      </c>
      <c r="V10" s="29">
        <f t="shared" si="8"/>
        <v>0.1471923184</v>
      </c>
      <c r="W10" s="6"/>
      <c r="X10" s="31" t="s">
        <v>31</v>
      </c>
      <c r="Y10" s="31">
        <v>2000.0</v>
      </c>
      <c r="Z10" s="32"/>
      <c r="AA10" s="33">
        <v>930.0</v>
      </c>
      <c r="AB10" s="33">
        <v>4830438.0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/>
      <c r="B11" s="25">
        <v>935.0</v>
      </c>
      <c r="C11" s="26" t="s">
        <v>32</v>
      </c>
      <c r="D11" s="25">
        <v>85075.0</v>
      </c>
      <c r="E11" s="27" t="s">
        <v>33</v>
      </c>
      <c r="F11" s="28"/>
      <c r="G11" s="28"/>
      <c r="H11" s="28"/>
      <c r="I11" s="28"/>
      <c r="J11" s="28"/>
      <c r="K11" s="28">
        <f t="shared" si="1"/>
        <v>3846451</v>
      </c>
      <c r="L11" s="28" t="str">
        <f t="shared" si="2"/>
        <v>#REF!</v>
      </c>
      <c r="M11" s="28" t="str">
        <f t="shared" si="3"/>
        <v>NA</v>
      </c>
      <c r="N11" s="29" t="str">
        <f t="shared" si="4"/>
        <v/>
      </c>
      <c r="O11" s="28">
        <v>5316131.0</v>
      </c>
      <c r="P11" s="28">
        <v>3877835.0</v>
      </c>
      <c r="Q11" s="28">
        <f t="shared" si="5"/>
        <v>1438296</v>
      </c>
      <c r="R11" s="29">
        <f t="shared" si="6"/>
        <v>0.3709018047</v>
      </c>
      <c r="S11" s="30">
        <v>4215537.0</v>
      </c>
      <c r="T11" s="28">
        <v>3161640.0</v>
      </c>
      <c r="U11" s="28">
        <f t="shared" si="7"/>
        <v>1053897</v>
      </c>
      <c r="V11" s="29">
        <f t="shared" si="8"/>
        <v>0.3333387103</v>
      </c>
      <c r="W11" s="6"/>
      <c r="X11" s="31" t="s">
        <v>34</v>
      </c>
      <c r="Y11" s="31">
        <v>3000.0</v>
      </c>
      <c r="Z11" s="32"/>
      <c r="AA11" s="33">
        <v>950.0</v>
      </c>
      <c r="AB11" s="33">
        <v>4529005.0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1"/>
      <c r="B12" s="25">
        <v>950.0</v>
      </c>
      <c r="C12" s="26" t="s">
        <v>35</v>
      </c>
      <c r="D12" s="25">
        <v>85002.0</v>
      </c>
      <c r="E12" s="27" t="s">
        <v>36</v>
      </c>
      <c r="F12" s="28"/>
      <c r="G12" s="28"/>
      <c r="H12" s="28"/>
      <c r="I12" s="28"/>
      <c r="J12" s="28"/>
      <c r="K12" s="28">
        <f t="shared" si="1"/>
        <v>4529005</v>
      </c>
      <c r="L12" s="28" t="str">
        <f t="shared" si="2"/>
        <v>#REF!</v>
      </c>
      <c r="M12" s="28" t="str">
        <f t="shared" si="3"/>
        <v>NA</v>
      </c>
      <c r="N12" s="29" t="str">
        <f t="shared" si="4"/>
        <v/>
      </c>
      <c r="O12" s="28">
        <v>4806707.0</v>
      </c>
      <c r="P12" s="28">
        <v>6642812.0</v>
      </c>
      <c r="Q12" s="28">
        <f t="shared" si="5"/>
        <v>-1836105</v>
      </c>
      <c r="R12" s="29">
        <f t="shared" si="6"/>
        <v>-0.2764047816</v>
      </c>
      <c r="S12" s="30">
        <v>4755888.0</v>
      </c>
      <c r="T12" s="28">
        <v>6450518.0</v>
      </c>
      <c r="U12" s="28">
        <f t="shared" si="7"/>
        <v>-1694630</v>
      </c>
      <c r="V12" s="29">
        <f t="shared" si="8"/>
        <v>-0.2627122349</v>
      </c>
      <c r="W12" s="6"/>
      <c r="X12" s="31" t="s">
        <v>37</v>
      </c>
      <c r="Y12" s="31">
        <v>4000.0</v>
      </c>
      <c r="Z12" s="32"/>
      <c r="AA12" s="33">
        <v>935.0</v>
      </c>
      <c r="AB12" s="33">
        <v>3846451.0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1"/>
      <c r="B13" s="25">
        <v>947.0</v>
      </c>
      <c r="C13" s="26" t="s">
        <v>38</v>
      </c>
      <c r="D13" s="25">
        <v>85051.0</v>
      </c>
      <c r="E13" s="27" t="s">
        <v>39</v>
      </c>
      <c r="F13" s="28"/>
      <c r="G13" s="28"/>
      <c r="H13" s="28"/>
      <c r="I13" s="28"/>
      <c r="J13" s="28"/>
      <c r="K13" s="28">
        <f t="shared" si="1"/>
        <v>2617220</v>
      </c>
      <c r="L13" s="28" t="str">
        <f t="shared" si="2"/>
        <v>#REF!</v>
      </c>
      <c r="M13" s="28" t="str">
        <f t="shared" si="3"/>
        <v>NA</v>
      </c>
      <c r="N13" s="29" t="str">
        <f t="shared" si="4"/>
        <v/>
      </c>
      <c r="O13" s="28">
        <v>4005020.0</v>
      </c>
      <c r="P13" s="28">
        <v>2008100.0</v>
      </c>
      <c r="Q13" s="28">
        <f t="shared" si="5"/>
        <v>1996920</v>
      </c>
      <c r="R13" s="29">
        <f t="shared" si="6"/>
        <v>0.9944325482</v>
      </c>
      <c r="S13" s="30">
        <v>3176773.0</v>
      </c>
      <c r="T13" s="28">
        <v>1589411.0</v>
      </c>
      <c r="U13" s="28">
        <f t="shared" si="7"/>
        <v>1587362</v>
      </c>
      <c r="V13" s="29">
        <f t="shared" si="8"/>
        <v>0.9987108432</v>
      </c>
      <c r="W13" s="6"/>
      <c r="X13" s="31" t="s">
        <v>40</v>
      </c>
      <c r="Y13" s="31">
        <v>6000.0</v>
      </c>
      <c r="Z13" s="32"/>
      <c r="AA13" s="33">
        <v>944.0</v>
      </c>
      <c r="AB13" s="33">
        <v>3159091.0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/>
      <c r="B14" s="25">
        <v>944.0</v>
      </c>
      <c r="C14" s="26" t="s">
        <v>41</v>
      </c>
      <c r="D14" s="25">
        <v>85034.0</v>
      </c>
      <c r="E14" s="27" t="s">
        <v>42</v>
      </c>
      <c r="F14" s="28"/>
      <c r="G14" s="28"/>
      <c r="H14" s="28"/>
      <c r="I14" s="28"/>
      <c r="J14" s="28"/>
      <c r="K14" s="28">
        <f t="shared" si="1"/>
        <v>3159091</v>
      </c>
      <c r="L14" s="28" t="str">
        <f t="shared" si="2"/>
        <v>#REF!</v>
      </c>
      <c r="M14" s="28" t="str">
        <f t="shared" si="3"/>
        <v>NA</v>
      </c>
      <c r="N14" s="29" t="str">
        <f t="shared" si="4"/>
        <v/>
      </c>
      <c r="O14" s="28">
        <v>3947338.0</v>
      </c>
      <c r="P14" s="28">
        <v>5283099.0</v>
      </c>
      <c r="Q14" s="28">
        <f t="shared" si="5"/>
        <v>-1335761</v>
      </c>
      <c r="R14" s="29">
        <f t="shared" si="6"/>
        <v>-0.25283664</v>
      </c>
      <c r="S14" s="30">
        <v>2912103.0</v>
      </c>
      <c r="T14" s="28">
        <v>4445310.0</v>
      </c>
      <c r="U14" s="28">
        <f t="shared" si="7"/>
        <v>-1533207</v>
      </c>
      <c r="V14" s="29">
        <f t="shared" si="8"/>
        <v>-0.3449044049</v>
      </c>
      <c r="W14" s="1"/>
      <c r="X14" s="34"/>
      <c r="Y14" s="34"/>
      <c r="Z14" s="33"/>
      <c r="AA14" s="33">
        <v>975.0</v>
      </c>
      <c r="AB14" s="33">
        <v>3032286.0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/>
      <c r="B15" s="25">
        <v>1010.0</v>
      </c>
      <c r="C15" s="26" t="s">
        <v>43</v>
      </c>
      <c r="D15" s="25">
        <v>85016.0</v>
      </c>
      <c r="E15" s="27" t="s">
        <v>44</v>
      </c>
      <c r="F15" s="28"/>
      <c r="G15" s="28"/>
      <c r="H15" s="28"/>
      <c r="I15" s="28"/>
      <c r="J15" s="28"/>
      <c r="K15" s="28">
        <f t="shared" si="1"/>
        <v>2587139</v>
      </c>
      <c r="L15" s="28" t="str">
        <f t="shared" si="2"/>
        <v>#REF!</v>
      </c>
      <c r="M15" s="28" t="str">
        <f t="shared" si="3"/>
        <v>NA</v>
      </c>
      <c r="N15" s="29" t="str">
        <f t="shared" si="4"/>
        <v/>
      </c>
      <c r="O15" s="28">
        <v>3639313.0</v>
      </c>
      <c r="P15" s="28">
        <v>7794404.0</v>
      </c>
      <c r="Q15" s="28">
        <f t="shared" si="5"/>
        <v>-4155091</v>
      </c>
      <c r="R15" s="29">
        <f t="shared" si="6"/>
        <v>-0.5330864297</v>
      </c>
      <c r="S15" s="30">
        <v>2838376.0</v>
      </c>
      <c r="T15" s="28">
        <v>6519637.0</v>
      </c>
      <c r="U15" s="28">
        <f t="shared" si="7"/>
        <v>-3681261</v>
      </c>
      <c r="V15" s="29">
        <f t="shared" si="8"/>
        <v>-0.5646420192</v>
      </c>
      <c r="W15" s="1"/>
      <c r="X15" s="33"/>
      <c r="Y15" s="33"/>
      <c r="Z15" s="33"/>
      <c r="AA15" s="33">
        <v>966.0</v>
      </c>
      <c r="AB15" s="33">
        <v>2832631.0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/>
      <c r="B16" s="25">
        <v>975.0</v>
      </c>
      <c r="C16" s="26" t="s">
        <v>45</v>
      </c>
      <c r="D16" s="25">
        <v>85052.0</v>
      </c>
      <c r="E16" s="27" t="s">
        <v>46</v>
      </c>
      <c r="F16" s="28"/>
      <c r="G16" s="28"/>
      <c r="H16" s="28"/>
      <c r="I16" s="28"/>
      <c r="J16" s="28"/>
      <c r="K16" s="28">
        <f t="shared" si="1"/>
        <v>3032286</v>
      </c>
      <c r="L16" s="28" t="str">
        <f t="shared" si="2"/>
        <v>#REF!</v>
      </c>
      <c r="M16" s="28" t="str">
        <f t="shared" si="3"/>
        <v>NA</v>
      </c>
      <c r="N16" s="29" t="str">
        <f t="shared" si="4"/>
        <v/>
      </c>
      <c r="O16" s="28">
        <v>3423547.0</v>
      </c>
      <c r="P16" s="28">
        <v>2037802.0</v>
      </c>
      <c r="Q16" s="28">
        <f t="shared" si="5"/>
        <v>1385745</v>
      </c>
      <c r="R16" s="29">
        <f t="shared" si="6"/>
        <v>0.6800194523</v>
      </c>
      <c r="S16" s="30">
        <v>3246961.0</v>
      </c>
      <c r="T16" s="28">
        <v>2417231.0</v>
      </c>
      <c r="U16" s="28">
        <f t="shared" si="7"/>
        <v>829730</v>
      </c>
      <c r="V16" s="29">
        <f t="shared" si="8"/>
        <v>0.3432563954</v>
      </c>
      <c r="W16" s="1"/>
      <c r="X16" s="33"/>
      <c r="Y16" s="33"/>
      <c r="Z16" s="33"/>
      <c r="AA16" s="33">
        <v>941.0</v>
      </c>
      <c r="AB16" s="33">
        <v>2866025.0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25">
        <v>969.0</v>
      </c>
      <c r="C17" s="26" t="s">
        <v>47</v>
      </c>
      <c r="D17" s="25">
        <v>85040.0</v>
      </c>
      <c r="E17" s="27" t="s">
        <v>48</v>
      </c>
      <c r="F17" s="28"/>
      <c r="G17" s="28"/>
      <c r="H17" s="28"/>
      <c r="I17" s="28"/>
      <c r="J17" s="28"/>
      <c r="K17" s="28">
        <f t="shared" si="1"/>
        <v>2593738</v>
      </c>
      <c r="L17" s="28" t="str">
        <f t="shared" si="2"/>
        <v>#REF!</v>
      </c>
      <c r="M17" s="28" t="str">
        <f t="shared" si="3"/>
        <v>NA</v>
      </c>
      <c r="N17" s="29" t="str">
        <f t="shared" si="4"/>
        <v/>
      </c>
      <c r="O17" s="28">
        <v>3102147.0</v>
      </c>
      <c r="P17" s="28">
        <v>1285561.0</v>
      </c>
      <c r="Q17" s="28">
        <f t="shared" si="5"/>
        <v>1816586</v>
      </c>
      <c r="R17" s="29">
        <f t="shared" si="6"/>
        <v>1.413068691</v>
      </c>
      <c r="S17" s="30">
        <v>2617530.0</v>
      </c>
      <c r="T17" s="28">
        <v>1341971.0</v>
      </c>
      <c r="U17" s="28">
        <f t="shared" si="7"/>
        <v>1275559</v>
      </c>
      <c r="V17" s="29">
        <f t="shared" si="8"/>
        <v>0.9505115982</v>
      </c>
      <c r="W17" s="1"/>
      <c r="X17" s="33"/>
      <c r="Y17" s="33"/>
      <c r="Z17" s="33"/>
      <c r="AA17" s="33">
        <v>947.0</v>
      </c>
      <c r="AB17" s="33">
        <v>2617220.0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1"/>
      <c r="B18" s="25">
        <v>1051.0</v>
      </c>
      <c r="C18" s="26" t="s">
        <v>49</v>
      </c>
      <c r="D18" s="25">
        <v>85081.0</v>
      </c>
      <c r="E18" s="27" t="s">
        <v>50</v>
      </c>
      <c r="F18" s="28"/>
      <c r="G18" s="28"/>
      <c r="H18" s="28"/>
      <c r="I18" s="28"/>
      <c r="J18" s="28"/>
      <c r="K18" s="28">
        <f t="shared" si="1"/>
        <v>2252348</v>
      </c>
      <c r="L18" s="28" t="str">
        <f t="shared" si="2"/>
        <v>#REF!</v>
      </c>
      <c r="M18" s="28" t="str">
        <f t="shared" si="3"/>
        <v>NA</v>
      </c>
      <c r="N18" s="29" t="str">
        <f t="shared" si="4"/>
        <v/>
      </c>
      <c r="O18" s="28">
        <v>3053514.0</v>
      </c>
      <c r="P18" s="28">
        <v>2757937.0</v>
      </c>
      <c r="Q18" s="28">
        <f t="shared" si="5"/>
        <v>295577</v>
      </c>
      <c r="R18" s="29">
        <f t="shared" si="6"/>
        <v>0.107173224</v>
      </c>
      <c r="S18" s="30">
        <v>2430695.0</v>
      </c>
      <c r="T18" s="28">
        <v>2416428.0</v>
      </c>
      <c r="U18" s="28">
        <f t="shared" si="7"/>
        <v>14267</v>
      </c>
      <c r="V18" s="29">
        <f t="shared" si="8"/>
        <v>0.005904169295</v>
      </c>
      <c r="W18" s="1"/>
      <c r="X18" s="33"/>
      <c r="Y18" s="33"/>
      <c r="Z18" s="33"/>
      <c r="AA18" s="33">
        <v>1010.0</v>
      </c>
      <c r="AB18" s="33">
        <v>2587139.0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>
      <c r="A19" s="1"/>
      <c r="B19" s="25">
        <v>941.0</v>
      </c>
      <c r="C19" s="26" t="s">
        <v>51</v>
      </c>
      <c r="D19" s="25">
        <v>85005.0</v>
      </c>
      <c r="E19" s="27" t="s">
        <v>52</v>
      </c>
      <c r="F19" s="28"/>
      <c r="G19" s="28"/>
      <c r="H19" s="28"/>
      <c r="I19" s="28"/>
      <c r="J19" s="28"/>
      <c r="K19" s="28">
        <f t="shared" si="1"/>
        <v>2866025</v>
      </c>
      <c r="L19" s="28" t="str">
        <f t="shared" si="2"/>
        <v>#REF!</v>
      </c>
      <c r="M19" s="28" t="str">
        <f t="shared" si="3"/>
        <v>NA</v>
      </c>
      <c r="N19" s="29" t="str">
        <f t="shared" si="4"/>
        <v/>
      </c>
      <c r="O19" s="28">
        <v>3050594.0</v>
      </c>
      <c r="P19" s="28">
        <v>3554252.0</v>
      </c>
      <c r="Q19" s="28">
        <f t="shared" si="5"/>
        <v>-503658</v>
      </c>
      <c r="R19" s="29">
        <f t="shared" si="6"/>
        <v>-0.1417057654</v>
      </c>
      <c r="S19" s="30">
        <v>2609660.0</v>
      </c>
      <c r="T19" s="28">
        <v>3608884.0</v>
      </c>
      <c r="U19" s="28">
        <f t="shared" si="7"/>
        <v>-999224</v>
      </c>
      <c r="V19" s="29">
        <f t="shared" si="8"/>
        <v>-0.2768789465</v>
      </c>
      <c r="W19" s="1"/>
      <c r="X19" s="33"/>
      <c r="Y19" s="33"/>
      <c r="Z19" s="33"/>
      <c r="AA19" s="33">
        <v>925.0</v>
      </c>
      <c r="AB19" s="33">
        <v>2679654.0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>
      <c r="A20" s="1"/>
      <c r="B20" s="25">
        <v>964.0</v>
      </c>
      <c r="C20" s="26" t="s">
        <v>53</v>
      </c>
      <c r="D20" s="25">
        <v>85019.0</v>
      </c>
      <c r="E20" s="27" t="s">
        <v>54</v>
      </c>
      <c r="F20" s="28"/>
      <c r="G20" s="28"/>
      <c r="H20" s="28"/>
      <c r="I20" s="28"/>
      <c r="J20" s="28"/>
      <c r="K20" s="28">
        <f t="shared" si="1"/>
        <v>2369254</v>
      </c>
      <c r="L20" s="28" t="str">
        <f t="shared" si="2"/>
        <v>#REF!</v>
      </c>
      <c r="M20" s="28" t="str">
        <f t="shared" si="3"/>
        <v>NA</v>
      </c>
      <c r="N20" s="29" t="str">
        <f t="shared" si="4"/>
        <v/>
      </c>
      <c r="O20" s="28">
        <v>3019296.0</v>
      </c>
      <c r="P20" s="28">
        <v>3772711.0</v>
      </c>
      <c r="Q20" s="28">
        <f t="shared" si="5"/>
        <v>-753415</v>
      </c>
      <c r="R20" s="29">
        <f t="shared" si="6"/>
        <v>-0.1997012228</v>
      </c>
      <c r="S20" s="30">
        <v>2689490.0</v>
      </c>
      <c r="T20" s="28">
        <v>3319029.0</v>
      </c>
      <c r="U20" s="28">
        <f t="shared" si="7"/>
        <v>-629539</v>
      </c>
      <c r="V20" s="29">
        <f t="shared" si="8"/>
        <v>-0.1896756551</v>
      </c>
      <c r="W20" s="1"/>
      <c r="X20" s="33"/>
      <c r="Y20" s="33"/>
      <c r="Z20" s="33"/>
      <c r="AA20" s="33">
        <v>981.0</v>
      </c>
      <c r="AB20" s="33">
        <v>2617536.0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>
      <c r="A21" s="1"/>
      <c r="B21" s="25">
        <v>981.0</v>
      </c>
      <c r="C21" s="26" t="s">
        <v>55</v>
      </c>
      <c r="D21" s="25">
        <v>85062.0</v>
      </c>
      <c r="E21" s="27" t="s">
        <v>56</v>
      </c>
      <c r="F21" s="28"/>
      <c r="G21" s="28"/>
      <c r="H21" s="28"/>
      <c r="I21" s="28"/>
      <c r="J21" s="28"/>
      <c r="K21" s="28">
        <f t="shared" si="1"/>
        <v>2617536</v>
      </c>
      <c r="L21" s="28" t="str">
        <f t="shared" si="2"/>
        <v>#REF!</v>
      </c>
      <c r="M21" s="28" t="str">
        <f t="shared" si="3"/>
        <v>NA</v>
      </c>
      <c r="N21" s="29" t="str">
        <f t="shared" si="4"/>
        <v/>
      </c>
      <c r="O21" s="28">
        <v>2878219.0</v>
      </c>
      <c r="P21" s="28">
        <v>4259217.0</v>
      </c>
      <c r="Q21" s="28">
        <f t="shared" si="5"/>
        <v>-1380998</v>
      </c>
      <c r="R21" s="29">
        <f t="shared" si="6"/>
        <v>-0.32423753</v>
      </c>
      <c r="S21" s="30">
        <v>2694906.0</v>
      </c>
      <c r="T21" s="28">
        <v>3705960.0</v>
      </c>
      <c r="U21" s="28">
        <f t="shared" si="7"/>
        <v>-1011054</v>
      </c>
      <c r="V21" s="29">
        <f t="shared" si="8"/>
        <v>-0.272818379</v>
      </c>
      <c r="W21" s="1"/>
      <c r="X21" s="33"/>
      <c r="Y21" s="33"/>
      <c r="Z21" s="33"/>
      <c r="AA21" s="33">
        <v>969.0</v>
      </c>
      <c r="AB21" s="33">
        <v>2593738.0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>
      <c r="A22" s="1"/>
      <c r="B22" s="25">
        <v>966.0</v>
      </c>
      <c r="C22" s="26" t="s">
        <v>57</v>
      </c>
      <c r="D22" s="25">
        <v>85027.0</v>
      </c>
      <c r="E22" s="27" t="s">
        <v>58</v>
      </c>
      <c r="F22" s="28"/>
      <c r="G22" s="28"/>
      <c r="H22" s="28"/>
      <c r="I22" s="28"/>
      <c r="J22" s="28"/>
      <c r="K22" s="28">
        <f t="shared" si="1"/>
        <v>2832631</v>
      </c>
      <c r="L22" s="28" t="str">
        <f t="shared" si="2"/>
        <v>#REF!</v>
      </c>
      <c r="M22" s="28" t="str">
        <f t="shared" si="3"/>
        <v>NA</v>
      </c>
      <c r="N22" s="29" t="str">
        <f t="shared" si="4"/>
        <v/>
      </c>
      <c r="O22" s="28">
        <v>2850409.0</v>
      </c>
      <c r="P22" s="28">
        <v>2727106.0</v>
      </c>
      <c r="Q22" s="28">
        <f t="shared" si="5"/>
        <v>123303</v>
      </c>
      <c r="R22" s="29">
        <f t="shared" si="6"/>
        <v>0.04521386407</v>
      </c>
      <c r="S22" s="30">
        <v>2834814.0</v>
      </c>
      <c r="T22" s="28">
        <v>2496134.0</v>
      </c>
      <c r="U22" s="28">
        <f t="shared" si="7"/>
        <v>338680</v>
      </c>
      <c r="V22" s="29">
        <f t="shared" si="8"/>
        <v>0.1356818184</v>
      </c>
      <c r="W22" s="1"/>
      <c r="X22" s="33"/>
      <c r="Y22" s="33"/>
      <c r="Z22" s="33"/>
      <c r="AA22" s="33">
        <v>964.0</v>
      </c>
      <c r="AB22" s="33">
        <v>2369254.0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1"/>
      <c r="B23" s="25">
        <v>1009.0</v>
      </c>
      <c r="C23" s="26" t="s">
        <v>59</v>
      </c>
      <c r="D23" s="25">
        <v>85047.0</v>
      </c>
      <c r="E23" s="27" t="s">
        <v>60</v>
      </c>
      <c r="F23" s="28"/>
      <c r="G23" s="28"/>
      <c r="H23" s="28"/>
      <c r="I23" s="28"/>
      <c r="J23" s="28"/>
      <c r="K23" s="28">
        <f t="shared" si="1"/>
        <v>2078592</v>
      </c>
      <c r="L23" s="28" t="str">
        <f t="shared" si="2"/>
        <v>#REF!</v>
      </c>
      <c r="M23" s="28" t="str">
        <f t="shared" si="3"/>
        <v>NA</v>
      </c>
      <c r="N23" s="29" t="str">
        <f t="shared" si="4"/>
        <v/>
      </c>
      <c r="O23" s="28">
        <v>2801595.0</v>
      </c>
      <c r="P23" s="28">
        <v>2087715.0</v>
      </c>
      <c r="Q23" s="28">
        <f t="shared" si="5"/>
        <v>713880</v>
      </c>
      <c r="R23" s="29">
        <f t="shared" si="6"/>
        <v>0.341943225</v>
      </c>
      <c r="S23" s="30">
        <v>2524047.0</v>
      </c>
      <c r="T23" s="28">
        <v>1426211.0</v>
      </c>
      <c r="U23" s="28">
        <f t="shared" si="7"/>
        <v>1097836</v>
      </c>
      <c r="V23" s="29">
        <f t="shared" si="8"/>
        <v>0.7697570696</v>
      </c>
      <c r="W23" s="1"/>
      <c r="X23" s="33"/>
      <c r="Y23" s="33"/>
      <c r="Z23" s="33"/>
      <c r="AA23" s="33">
        <v>1051.0</v>
      </c>
      <c r="AB23" s="33">
        <v>2252348.0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1"/>
      <c r="B24" s="25">
        <v>939.0</v>
      </c>
      <c r="C24" s="26" t="s">
        <v>61</v>
      </c>
      <c r="D24" s="25">
        <v>85011.0</v>
      </c>
      <c r="E24" s="27" t="s">
        <v>62</v>
      </c>
      <c r="F24" s="28"/>
      <c r="G24" s="28"/>
      <c r="H24" s="28"/>
      <c r="I24" s="28"/>
      <c r="J24" s="28"/>
      <c r="K24" s="28">
        <f t="shared" si="1"/>
        <v>1865660</v>
      </c>
      <c r="L24" s="28" t="str">
        <f t="shared" si="2"/>
        <v>#REF!</v>
      </c>
      <c r="M24" s="28" t="str">
        <f t="shared" si="3"/>
        <v>NA</v>
      </c>
      <c r="N24" s="29" t="str">
        <f t="shared" si="4"/>
        <v/>
      </c>
      <c r="O24" s="28">
        <v>2768711.0</v>
      </c>
      <c r="P24" s="28">
        <v>3203869.0</v>
      </c>
      <c r="Q24" s="28">
        <f t="shared" si="5"/>
        <v>-435158</v>
      </c>
      <c r="R24" s="29">
        <f t="shared" si="6"/>
        <v>-0.1358226569</v>
      </c>
      <c r="S24" s="30">
        <v>2329662.0</v>
      </c>
      <c r="T24" s="28">
        <v>2818447.0</v>
      </c>
      <c r="U24" s="28">
        <f t="shared" si="7"/>
        <v>-488785</v>
      </c>
      <c r="V24" s="29">
        <f t="shared" si="8"/>
        <v>-0.1734235201</v>
      </c>
      <c r="W24" s="1"/>
      <c r="X24" s="33"/>
      <c r="Y24" s="33"/>
      <c r="Z24" s="33"/>
      <c r="AA24" s="33">
        <v>923.0</v>
      </c>
      <c r="AB24" s="33">
        <v>2233351.0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1"/>
      <c r="B25" s="25">
        <v>1029.0</v>
      </c>
      <c r="C25" s="26" t="s">
        <v>63</v>
      </c>
      <c r="D25" s="25">
        <v>85058.0</v>
      </c>
      <c r="E25" s="27" t="s">
        <v>64</v>
      </c>
      <c r="F25" s="28"/>
      <c r="G25" s="28"/>
      <c r="H25" s="28"/>
      <c r="I25" s="28"/>
      <c r="J25" s="28"/>
      <c r="K25" s="28">
        <f t="shared" si="1"/>
        <v>2229596</v>
      </c>
      <c r="L25" s="28" t="str">
        <f t="shared" si="2"/>
        <v>#REF!</v>
      </c>
      <c r="M25" s="28" t="str">
        <f t="shared" si="3"/>
        <v>NA</v>
      </c>
      <c r="N25" s="29" t="str">
        <f t="shared" si="4"/>
        <v/>
      </c>
      <c r="O25" s="28">
        <v>2738651.0</v>
      </c>
      <c r="P25" s="28">
        <v>3033587.0</v>
      </c>
      <c r="Q25" s="28">
        <f t="shared" si="5"/>
        <v>-294936</v>
      </c>
      <c r="R25" s="29">
        <f t="shared" si="6"/>
        <v>-0.0972235179</v>
      </c>
      <c r="S25" s="30">
        <v>2334099.0</v>
      </c>
      <c r="T25" s="28">
        <v>2240203.0</v>
      </c>
      <c r="U25" s="28">
        <f t="shared" si="7"/>
        <v>93896</v>
      </c>
      <c r="V25" s="29">
        <f t="shared" si="8"/>
        <v>0.04191405868</v>
      </c>
      <c r="W25" s="1"/>
      <c r="X25" s="33"/>
      <c r="Y25" s="33"/>
      <c r="Z25" s="33"/>
      <c r="AA25" s="33">
        <v>992.0</v>
      </c>
      <c r="AB25" s="33">
        <v>2290476.0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1"/>
      <c r="B26" s="25">
        <v>923.0</v>
      </c>
      <c r="C26" s="26" t="s">
        <v>65</v>
      </c>
      <c r="D26" s="25">
        <v>85050.0</v>
      </c>
      <c r="E26" s="27" t="s">
        <v>66</v>
      </c>
      <c r="F26" s="28"/>
      <c r="G26" s="28"/>
      <c r="H26" s="28"/>
      <c r="I26" s="28"/>
      <c r="J26" s="28"/>
      <c r="K26" s="28">
        <f t="shared" si="1"/>
        <v>2233351</v>
      </c>
      <c r="L26" s="28" t="str">
        <f t="shared" si="2"/>
        <v>#REF!</v>
      </c>
      <c r="M26" s="28" t="str">
        <f t="shared" si="3"/>
        <v>NA</v>
      </c>
      <c r="N26" s="29" t="str">
        <f t="shared" si="4"/>
        <v/>
      </c>
      <c r="O26" s="28">
        <v>2584441.0</v>
      </c>
      <c r="P26" s="28">
        <v>2560826.0</v>
      </c>
      <c r="Q26" s="28">
        <f t="shared" si="5"/>
        <v>23615</v>
      </c>
      <c r="R26" s="29">
        <f t="shared" si="6"/>
        <v>0.009221633957</v>
      </c>
      <c r="S26" s="30">
        <v>2180117.0</v>
      </c>
      <c r="T26" s="28">
        <v>2513670.0</v>
      </c>
      <c r="U26" s="28">
        <f t="shared" si="7"/>
        <v>-333553</v>
      </c>
      <c r="V26" s="29">
        <f t="shared" si="8"/>
        <v>-0.1326956203</v>
      </c>
      <c r="W26" s="1"/>
      <c r="X26" s="33"/>
      <c r="Y26" s="33"/>
      <c r="Z26" s="33"/>
      <c r="AA26" s="33">
        <v>1029.0</v>
      </c>
      <c r="AB26" s="33">
        <v>2229596.0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1"/>
      <c r="B27" s="25">
        <v>925.0</v>
      </c>
      <c r="C27" s="26" t="s">
        <v>67</v>
      </c>
      <c r="D27" s="25">
        <v>85055.0</v>
      </c>
      <c r="E27" s="27" t="s">
        <v>68</v>
      </c>
      <c r="F27" s="28"/>
      <c r="G27" s="28"/>
      <c r="H27" s="28"/>
      <c r="I27" s="28"/>
      <c r="J27" s="28"/>
      <c r="K27" s="28">
        <f t="shared" si="1"/>
        <v>2679654</v>
      </c>
      <c r="L27" s="28" t="str">
        <f t="shared" si="2"/>
        <v>#REF!</v>
      </c>
      <c r="M27" s="28" t="str">
        <f t="shared" si="3"/>
        <v>NA</v>
      </c>
      <c r="N27" s="29" t="str">
        <f t="shared" si="4"/>
        <v/>
      </c>
      <c r="O27" s="28">
        <v>2439552.0</v>
      </c>
      <c r="P27" s="28">
        <v>2406263.0</v>
      </c>
      <c r="Q27" s="28">
        <f t="shared" si="5"/>
        <v>33289</v>
      </c>
      <c r="R27" s="29">
        <f t="shared" si="6"/>
        <v>0.01383431487</v>
      </c>
      <c r="S27" s="30">
        <v>2532388.0</v>
      </c>
      <c r="T27" s="28">
        <v>2319717.0</v>
      </c>
      <c r="U27" s="28">
        <f t="shared" si="7"/>
        <v>212671</v>
      </c>
      <c r="V27" s="29">
        <f t="shared" si="8"/>
        <v>0.09167971783</v>
      </c>
      <c r="W27" s="1"/>
      <c r="X27" s="33"/>
      <c r="Y27" s="33"/>
      <c r="Z27" s="33"/>
      <c r="AA27" s="33">
        <v>1009.0</v>
      </c>
      <c r="AB27" s="33">
        <v>2078592.0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1"/>
      <c r="B28" s="25">
        <v>946.0</v>
      </c>
      <c r="C28" s="26" t="s">
        <v>69</v>
      </c>
      <c r="D28" s="25">
        <v>85037.0</v>
      </c>
      <c r="E28" s="27" t="s">
        <v>70</v>
      </c>
      <c r="F28" s="28"/>
      <c r="G28" s="28"/>
      <c r="H28" s="28"/>
      <c r="I28" s="28"/>
      <c r="J28" s="28"/>
      <c r="K28" s="28">
        <f t="shared" si="1"/>
        <v>1720191</v>
      </c>
      <c r="L28" s="28" t="str">
        <f t="shared" si="2"/>
        <v>#REF!</v>
      </c>
      <c r="M28" s="28" t="str">
        <f t="shared" si="3"/>
        <v>NA</v>
      </c>
      <c r="N28" s="29" t="str">
        <f t="shared" si="4"/>
        <v/>
      </c>
      <c r="O28" s="28">
        <v>2358802.0</v>
      </c>
      <c r="P28" s="28">
        <v>3223917.0</v>
      </c>
      <c r="Q28" s="28">
        <f t="shared" si="5"/>
        <v>-865115</v>
      </c>
      <c r="R28" s="29">
        <f t="shared" si="6"/>
        <v>-0.2683428264</v>
      </c>
      <c r="S28" s="30">
        <v>2035930.0</v>
      </c>
      <c r="T28" s="28">
        <v>2845953.0</v>
      </c>
      <c r="U28" s="28">
        <f t="shared" si="7"/>
        <v>-810023</v>
      </c>
      <c r="V28" s="29">
        <f t="shared" si="8"/>
        <v>-0.2846227608</v>
      </c>
      <c r="W28" s="1"/>
      <c r="X28" s="33"/>
      <c r="Y28" s="33"/>
      <c r="Z28" s="33"/>
      <c r="AA28" s="33">
        <v>952.0</v>
      </c>
      <c r="AB28" s="33">
        <v>2002385.0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1"/>
      <c r="B29" s="25">
        <v>992.0</v>
      </c>
      <c r="C29" s="26" t="s">
        <v>71</v>
      </c>
      <c r="D29" s="25">
        <v>85028.0</v>
      </c>
      <c r="E29" s="27" t="s">
        <v>72</v>
      </c>
      <c r="F29" s="28"/>
      <c r="G29" s="28"/>
      <c r="H29" s="28"/>
      <c r="I29" s="28"/>
      <c r="J29" s="28"/>
      <c r="K29" s="28">
        <f t="shared" si="1"/>
        <v>2290476</v>
      </c>
      <c r="L29" s="28" t="str">
        <f t="shared" si="2"/>
        <v>#REF!</v>
      </c>
      <c r="M29" s="28" t="str">
        <f t="shared" si="3"/>
        <v>NA</v>
      </c>
      <c r="N29" s="29" t="str">
        <f t="shared" si="4"/>
        <v/>
      </c>
      <c r="O29" s="28">
        <v>2356705.0</v>
      </c>
      <c r="P29" s="28">
        <v>1781463.0</v>
      </c>
      <c r="Q29" s="28">
        <f t="shared" si="5"/>
        <v>575242</v>
      </c>
      <c r="R29" s="29">
        <f t="shared" si="6"/>
        <v>0.3229042646</v>
      </c>
      <c r="S29" s="30">
        <v>2062112.0</v>
      </c>
      <c r="T29" s="28">
        <v>1660175.0</v>
      </c>
      <c r="U29" s="28">
        <f t="shared" si="7"/>
        <v>401937</v>
      </c>
      <c r="V29" s="29">
        <f t="shared" si="8"/>
        <v>0.2421051998</v>
      </c>
      <c r="W29" s="1"/>
      <c r="X29" s="33"/>
      <c r="Y29" s="33"/>
      <c r="Z29" s="33"/>
      <c r="AA29" s="33">
        <v>939.0</v>
      </c>
      <c r="AB29" s="33">
        <v>1865660.0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1"/>
      <c r="B30" s="25">
        <v>993.0</v>
      </c>
      <c r="C30" s="26" t="s">
        <v>73</v>
      </c>
      <c r="D30" s="25">
        <v>85100.0</v>
      </c>
      <c r="E30" s="26" t="s">
        <v>74</v>
      </c>
      <c r="F30" s="28"/>
      <c r="G30" s="28"/>
      <c r="H30" s="28"/>
      <c r="I30" s="28"/>
      <c r="J30" s="28"/>
      <c r="K30" s="28">
        <f t="shared" si="1"/>
        <v>1586551</v>
      </c>
      <c r="L30" s="28" t="str">
        <f t="shared" si="2"/>
        <v>#REF!</v>
      </c>
      <c r="M30" s="28" t="str">
        <f t="shared" si="3"/>
        <v>NA</v>
      </c>
      <c r="N30" s="29" t="str">
        <f t="shared" si="4"/>
        <v/>
      </c>
      <c r="O30" s="28">
        <v>2276424.0</v>
      </c>
      <c r="P30" s="28">
        <v>1184786.0</v>
      </c>
      <c r="Q30" s="28">
        <f t="shared" si="5"/>
        <v>1091638</v>
      </c>
      <c r="R30" s="29">
        <f t="shared" si="6"/>
        <v>0.9213798948</v>
      </c>
      <c r="S30" s="30">
        <v>1687934.0</v>
      </c>
      <c r="T30" s="28" t="s">
        <v>75</v>
      </c>
      <c r="U30" s="28">
        <f t="shared" si="7"/>
        <v>1687934</v>
      </c>
      <c r="V30" s="29" t="str">
        <f t="shared" si="8"/>
        <v/>
      </c>
      <c r="W30" s="1"/>
      <c r="X30" s="33"/>
      <c r="Y30" s="33"/>
      <c r="Z30" s="33"/>
      <c r="AA30" s="33">
        <v>988.0</v>
      </c>
      <c r="AB30" s="33">
        <v>1904941.0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1"/>
      <c r="B31" s="25">
        <v>988.0</v>
      </c>
      <c r="C31" s="26" t="s">
        <v>76</v>
      </c>
      <c r="D31" s="25">
        <v>85093.0</v>
      </c>
      <c r="E31" s="27" t="s">
        <v>77</v>
      </c>
      <c r="F31" s="28"/>
      <c r="G31" s="28"/>
      <c r="H31" s="28"/>
      <c r="I31" s="28"/>
      <c r="J31" s="28"/>
      <c r="K31" s="28">
        <f t="shared" si="1"/>
        <v>1904941</v>
      </c>
      <c r="L31" s="28" t="str">
        <f t="shared" si="2"/>
        <v>#REF!</v>
      </c>
      <c r="M31" s="28" t="str">
        <f t="shared" si="3"/>
        <v>NA</v>
      </c>
      <c r="N31" s="29" t="str">
        <f t="shared" si="4"/>
        <v/>
      </c>
      <c r="O31" s="28">
        <v>2178318.0</v>
      </c>
      <c r="P31" s="28">
        <v>2053140.0</v>
      </c>
      <c r="Q31" s="28">
        <f t="shared" si="5"/>
        <v>125178</v>
      </c>
      <c r="R31" s="29">
        <f t="shared" si="6"/>
        <v>0.06096905228</v>
      </c>
      <c r="S31" s="30">
        <v>1780920.0</v>
      </c>
      <c r="T31" s="28">
        <v>1499305.0</v>
      </c>
      <c r="U31" s="28">
        <f t="shared" si="7"/>
        <v>281615</v>
      </c>
      <c r="V31" s="29">
        <f t="shared" si="8"/>
        <v>0.1878303614</v>
      </c>
      <c r="W31" s="1"/>
      <c r="X31" s="33"/>
      <c r="Y31" s="33"/>
      <c r="Z31" s="33"/>
      <c r="AA31" s="33">
        <v>917.0</v>
      </c>
      <c r="AB31" s="33">
        <v>1845208.0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25">
        <v>1025.0</v>
      </c>
      <c r="C32" s="26" t="s">
        <v>78</v>
      </c>
      <c r="D32" s="25">
        <v>85096.0</v>
      </c>
      <c r="E32" s="27" t="s">
        <v>79</v>
      </c>
      <c r="F32" s="28"/>
      <c r="G32" s="28"/>
      <c r="H32" s="28"/>
      <c r="I32" s="28"/>
      <c r="J32" s="28"/>
      <c r="K32" s="28">
        <f t="shared" si="1"/>
        <v>1476068</v>
      </c>
      <c r="L32" s="28" t="str">
        <f t="shared" si="2"/>
        <v>#REF!</v>
      </c>
      <c r="M32" s="28" t="str">
        <f t="shared" si="3"/>
        <v>NA</v>
      </c>
      <c r="N32" s="29" t="str">
        <f t="shared" si="4"/>
        <v/>
      </c>
      <c r="O32" s="28">
        <v>2055460.0</v>
      </c>
      <c r="P32" s="28">
        <v>2167267.0</v>
      </c>
      <c r="Q32" s="28">
        <f t="shared" si="5"/>
        <v>-111807</v>
      </c>
      <c r="R32" s="29">
        <f t="shared" si="6"/>
        <v>-0.05158893667</v>
      </c>
      <c r="S32" s="30">
        <v>1432085.0</v>
      </c>
      <c r="T32" s="28">
        <v>1793813.0</v>
      </c>
      <c r="U32" s="28">
        <f t="shared" si="7"/>
        <v>-361728</v>
      </c>
      <c r="V32" s="29">
        <f t="shared" si="8"/>
        <v>-0.2016531266</v>
      </c>
      <c r="W32" s="1"/>
      <c r="X32" s="33"/>
      <c r="Y32" s="33"/>
      <c r="Z32" s="33"/>
      <c r="AA32" s="33">
        <v>946.0</v>
      </c>
      <c r="AB32" s="33">
        <v>1720191.0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25">
        <v>942.0</v>
      </c>
      <c r="C33" s="26" t="s">
        <v>80</v>
      </c>
      <c r="D33" s="25">
        <v>85078.0</v>
      </c>
      <c r="E33" s="27" t="s">
        <v>81</v>
      </c>
      <c r="F33" s="28"/>
      <c r="G33" s="28"/>
      <c r="H33" s="28"/>
      <c r="I33" s="28"/>
      <c r="J33" s="28"/>
      <c r="K33" s="28">
        <f t="shared" si="1"/>
        <v>1622079</v>
      </c>
      <c r="L33" s="28" t="str">
        <f t="shared" si="2"/>
        <v>#REF!</v>
      </c>
      <c r="M33" s="28" t="str">
        <f t="shared" si="3"/>
        <v>NA</v>
      </c>
      <c r="N33" s="29" t="str">
        <f t="shared" si="4"/>
        <v/>
      </c>
      <c r="O33" s="28">
        <v>1935711.0</v>
      </c>
      <c r="P33" s="28">
        <v>2408246.0</v>
      </c>
      <c r="Q33" s="28">
        <f t="shared" si="5"/>
        <v>-472535</v>
      </c>
      <c r="R33" s="29">
        <f t="shared" si="6"/>
        <v>-0.1962154199</v>
      </c>
      <c r="S33" s="30">
        <v>1513418.0</v>
      </c>
      <c r="T33" s="28">
        <v>2261277.0</v>
      </c>
      <c r="U33" s="28">
        <f t="shared" si="7"/>
        <v>-747859</v>
      </c>
      <c r="V33" s="29">
        <f t="shared" si="8"/>
        <v>-0.3307241881</v>
      </c>
      <c r="W33" s="1"/>
      <c r="X33" s="33"/>
      <c r="Y33" s="33"/>
      <c r="Z33" s="33"/>
      <c r="AA33" s="33">
        <v>1059.0</v>
      </c>
      <c r="AB33" s="33">
        <v>1769632.0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25">
        <v>917.0</v>
      </c>
      <c r="C34" s="26" t="s">
        <v>82</v>
      </c>
      <c r="D34" s="25">
        <v>85038.0</v>
      </c>
      <c r="E34" s="27" t="s">
        <v>83</v>
      </c>
      <c r="F34" s="28"/>
      <c r="G34" s="28"/>
      <c r="H34" s="28"/>
      <c r="I34" s="28"/>
      <c r="J34" s="28"/>
      <c r="K34" s="28">
        <f t="shared" si="1"/>
        <v>1845208</v>
      </c>
      <c r="L34" s="28" t="str">
        <f t="shared" si="2"/>
        <v>#REF!</v>
      </c>
      <c r="M34" s="28" t="str">
        <f t="shared" si="3"/>
        <v>NA</v>
      </c>
      <c r="N34" s="29" t="str">
        <f t="shared" si="4"/>
        <v/>
      </c>
      <c r="O34" s="28">
        <v>1926502.0</v>
      </c>
      <c r="P34" s="28">
        <v>1696878.0</v>
      </c>
      <c r="Q34" s="28">
        <f t="shared" si="5"/>
        <v>229624</v>
      </c>
      <c r="R34" s="29">
        <f t="shared" si="6"/>
        <v>0.135321455</v>
      </c>
      <c r="S34" s="30">
        <v>1848365.0</v>
      </c>
      <c r="T34" s="28">
        <v>1742744.0</v>
      </c>
      <c r="U34" s="28">
        <f t="shared" si="7"/>
        <v>105621</v>
      </c>
      <c r="V34" s="29">
        <f t="shared" si="8"/>
        <v>0.06060614755</v>
      </c>
      <c r="W34" s="1"/>
      <c r="X34" s="33"/>
      <c r="Y34" s="33"/>
      <c r="Z34" s="33"/>
      <c r="AA34" s="33">
        <v>993.0</v>
      </c>
      <c r="AB34" s="33">
        <v>1586551.0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25">
        <v>1059.0</v>
      </c>
      <c r="C35" s="26" t="s">
        <v>84</v>
      </c>
      <c r="D35" s="25">
        <v>85069.0</v>
      </c>
      <c r="E35" s="27" t="s">
        <v>85</v>
      </c>
      <c r="F35" s="28"/>
      <c r="G35" s="28"/>
      <c r="H35" s="28"/>
      <c r="I35" s="28"/>
      <c r="J35" s="28"/>
      <c r="K35" s="28">
        <f t="shared" si="1"/>
        <v>1769632</v>
      </c>
      <c r="L35" s="28" t="str">
        <f t="shared" si="2"/>
        <v>#REF!</v>
      </c>
      <c r="M35" s="28" t="str">
        <f t="shared" si="3"/>
        <v>NA</v>
      </c>
      <c r="N35" s="29" t="str">
        <f t="shared" si="4"/>
        <v/>
      </c>
      <c r="O35" s="28">
        <v>1867641.0</v>
      </c>
      <c r="P35" s="28">
        <v>1569845.0</v>
      </c>
      <c r="Q35" s="28">
        <f t="shared" si="5"/>
        <v>297796</v>
      </c>
      <c r="R35" s="29">
        <f t="shared" si="6"/>
        <v>0.189697709</v>
      </c>
      <c r="S35" s="30">
        <v>1730181.0</v>
      </c>
      <c r="T35" s="28">
        <v>1280606.0</v>
      </c>
      <c r="U35" s="28">
        <f t="shared" si="7"/>
        <v>449575</v>
      </c>
      <c r="V35" s="29">
        <f t="shared" si="8"/>
        <v>0.3510642618</v>
      </c>
      <c r="W35" s="1"/>
      <c r="X35" s="33"/>
      <c r="Y35" s="33"/>
      <c r="Z35" s="33"/>
      <c r="AA35" s="33">
        <v>1013.0</v>
      </c>
      <c r="AB35" s="33">
        <v>1697137.0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25">
        <v>956.0</v>
      </c>
      <c r="C36" s="26" t="s">
        <v>86</v>
      </c>
      <c r="D36" s="25">
        <v>85015.0</v>
      </c>
      <c r="E36" s="27" t="s">
        <v>87</v>
      </c>
      <c r="F36" s="28"/>
      <c r="G36" s="28"/>
      <c r="H36" s="28"/>
      <c r="I36" s="28"/>
      <c r="J36" s="28"/>
      <c r="K36" s="28">
        <f t="shared" si="1"/>
        <v>1374697</v>
      </c>
      <c r="L36" s="28" t="str">
        <f t="shared" si="2"/>
        <v>#REF!</v>
      </c>
      <c r="M36" s="28" t="str">
        <f t="shared" si="3"/>
        <v>NA</v>
      </c>
      <c r="N36" s="29" t="str">
        <f t="shared" si="4"/>
        <v/>
      </c>
      <c r="O36" s="28">
        <v>1850307.0</v>
      </c>
      <c r="P36" s="28">
        <v>2082217.0</v>
      </c>
      <c r="Q36" s="28">
        <f t="shared" si="5"/>
        <v>-231910</v>
      </c>
      <c r="R36" s="29">
        <f t="shared" si="6"/>
        <v>-0.11137648</v>
      </c>
      <c r="S36" s="30">
        <v>1383907.0</v>
      </c>
      <c r="T36" s="28">
        <v>1681076.0</v>
      </c>
      <c r="U36" s="28">
        <f t="shared" si="7"/>
        <v>-297169</v>
      </c>
      <c r="V36" s="29">
        <f t="shared" si="8"/>
        <v>-0.1767730906</v>
      </c>
      <c r="W36" s="1"/>
      <c r="X36" s="33"/>
      <c r="Y36" s="33"/>
      <c r="Z36" s="33"/>
      <c r="AA36" s="33">
        <v>1056.0</v>
      </c>
      <c r="AB36" s="33">
        <v>1790304.0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25">
        <v>973.0</v>
      </c>
      <c r="C37" s="26" t="s">
        <v>88</v>
      </c>
      <c r="D37" s="25">
        <v>85043.0</v>
      </c>
      <c r="E37" s="27" t="s">
        <v>89</v>
      </c>
      <c r="F37" s="28"/>
      <c r="G37" s="28"/>
      <c r="H37" s="28"/>
      <c r="I37" s="28"/>
      <c r="J37" s="28"/>
      <c r="K37" s="28">
        <f t="shared" si="1"/>
        <v>1339409</v>
      </c>
      <c r="L37" s="28" t="str">
        <f t="shared" si="2"/>
        <v>#REF!</v>
      </c>
      <c r="M37" s="28" t="str">
        <f t="shared" si="3"/>
        <v>NA</v>
      </c>
      <c r="N37" s="29" t="str">
        <f t="shared" si="4"/>
        <v/>
      </c>
      <c r="O37" s="28">
        <v>1835538.0</v>
      </c>
      <c r="P37" s="28">
        <v>1682875.0</v>
      </c>
      <c r="Q37" s="28">
        <f t="shared" si="5"/>
        <v>152663</v>
      </c>
      <c r="R37" s="29">
        <f t="shared" si="6"/>
        <v>0.09071559088</v>
      </c>
      <c r="S37" s="30">
        <v>1395494.0</v>
      </c>
      <c r="T37" s="28">
        <v>1606885.0</v>
      </c>
      <c r="U37" s="28">
        <f t="shared" si="7"/>
        <v>-211391</v>
      </c>
      <c r="V37" s="29">
        <f t="shared" si="8"/>
        <v>-0.1315532848</v>
      </c>
      <c r="W37" s="1"/>
      <c r="X37" s="33"/>
      <c r="Y37" s="33"/>
      <c r="Z37" s="33"/>
      <c r="AA37" s="33">
        <v>932.0</v>
      </c>
      <c r="AB37" s="33">
        <v>1678146.0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25">
        <v>973.0</v>
      </c>
      <c r="C38" s="26" t="s">
        <v>88</v>
      </c>
      <c r="D38" s="25">
        <v>85007.0</v>
      </c>
      <c r="E38" s="27" t="s">
        <v>90</v>
      </c>
      <c r="F38" s="28"/>
      <c r="G38" s="28"/>
      <c r="H38" s="28"/>
      <c r="I38" s="28"/>
      <c r="J38" s="28"/>
      <c r="K38" s="28">
        <f t="shared" si="1"/>
        <v>1339409</v>
      </c>
      <c r="L38" s="28" t="str">
        <f t="shared" si="2"/>
        <v>#REF!</v>
      </c>
      <c r="M38" s="28" t="str">
        <f t="shared" si="3"/>
        <v>NA</v>
      </c>
      <c r="N38" s="29" t="str">
        <f t="shared" si="4"/>
        <v/>
      </c>
      <c r="O38" s="28">
        <v>1835538.0</v>
      </c>
      <c r="P38" s="28">
        <v>6311519.0</v>
      </c>
      <c r="Q38" s="28">
        <f t="shared" si="5"/>
        <v>-4475981</v>
      </c>
      <c r="R38" s="29">
        <f t="shared" si="6"/>
        <v>-0.7091765073</v>
      </c>
      <c r="S38" s="30">
        <v>1395494.0</v>
      </c>
      <c r="T38" s="28">
        <v>5591789.0</v>
      </c>
      <c r="U38" s="28">
        <f t="shared" si="7"/>
        <v>-4196295</v>
      </c>
      <c r="V38" s="29">
        <f t="shared" si="8"/>
        <v>-0.7504387236</v>
      </c>
      <c r="W38" s="1"/>
      <c r="X38" s="33"/>
      <c r="Y38" s="33"/>
      <c r="Z38" s="33"/>
      <c r="AA38" s="33">
        <v>1003.0</v>
      </c>
      <c r="AB38" s="33">
        <v>1750309.0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25">
        <v>995.0</v>
      </c>
      <c r="C39" s="26" t="s">
        <v>91</v>
      </c>
      <c r="D39" s="25">
        <v>85066.0</v>
      </c>
      <c r="E39" s="27" t="s">
        <v>92</v>
      </c>
      <c r="F39" s="28"/>
      <c r="G39" s="28"/>
      <c r="H39" s="28"/>
      <c r="I39" s="28"/>
      <c r="J39" s="28"/>
      <c r="K39" s="28">
        <f t="shared" si="1"/>
        <v>1383312</v>
      </c>
      <c r="L39" s="28" t="str">
        <f t="shared" si="2"/>
        <v>#REF!</v>
      </c>
      <c r="M39" s="28" t="str">
        <f t="shared" si="3"/>
        <v>NA</v>
      </c>
      <c r="N39" s="29" t="str">
        <f t="shared" si="4"/>
        <v/>
      </c>
      <c r="O39" s="28">
        <v>1803146.0</v>
      </c>
      <c r="P39" s="28">
        <v>1911990.0</v>
      </c>
      <c r="Q39" s="28">
        <f t="shared" si="5"/>
        <v>-108844</v>
      </c>
      <c r="R39" s="29">
        <f t="shared" si="6"/>
        <v>-0.05692707598</v>
      </c>
      <c r="S39" s="30">
        <v>1436643.0</v>
      </c>
      <c r="T39" s="28">
        <v>1559644.0</v>
      </c>
      <c r="U39" s="28">
        <f t="shared" si="7"/>
        <v>-123001</v>
      </c>
      <c r="V39" s="29">
        <f t="shared" si="8"/>
        <v>-0.07886479222</v>
      </c>
      <c r="W39" s="1"/>
      <c r="X39" s="33"/>
      <c r="Y39" s="33"/>
      <c r="Z39" s="33"/>
      <c r="AA39" s="33">
        <v>942.0</v>
      </c>
      <c r="AB39" s="33">
        <v>1622079.0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25">
        <v>1018.0</v>
      </c>
      <c r="C40" s="26" t="s">
        <v>93</v>
      </c>
      <c r="D40" s="25">
        <v>85079.0</v>
      </c>
      <c r="E40" s="27" t="s">
        <v>94</v>
      </c>
      <c r="F40" s="28"/>
      <c r="G40" s="28"/>
      <c r="H40" s="28"/>
      <c r="I40" s="28"/>
      <c r="J40" s="28"/>
      <c r="K40" s="28">
        <f t="shared" si="1"/>
        <v>1545752</v>
      </c>
      <c r="L40" s="28" t="str">
        <f t="shared" si="2"/>
        <v>#REF!</v>
      </c>
      <c r="M40" s="28" t="str">
        <f t="shared" si="3"/>
        <v>NA</v>
      </c>
      <c r="N40" s="29" t="str">
        <f t="shared" si="4"/>
        <v/>
      </c>
      <c r="O40" s="28">
        <v>1785683.0</v>
      </c>
      <c r="P40" s="28">
        <v>1164525.0</v>
      </c>
      <c r="Q40" s="28">
        <f t="shared" si="5"/>
        <v>621158</v>
      </c>
      <c r="R40" s="29">
        <f t="shared" si="6"/>
        <v>0.5334003134</v>
      </c>
      <c r="S40" s="30">
        <v>1644806.0</v>
      </c>
      <c r="T40" s="28">
        <v>1088569.0</v>
      </c>
      <c r="U40" s="28">
        <f t="shared" si="7"/>
        <v>556237</v>
      </c>
      <c r="V40" s="29">
        <f t="shared" si="8"/>
        <v>0.5109800114</v>
      </c>
      <c r="W40" s="1"/>
      <c r="X40" s="33"/>
      <c r="Y40" s="33"/>
      <c r="Z40" s="33"/>
      <c r="AA40" s="33">
        <v>1001.0</v>
      </c>
      <c r="AB40" s="33">
        <v>1566856.0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25">
        <v>1056.0</v>
      </c>
      <c r="C41" s="26" t="s">
        <v>95</v>
      </c>
      <c r="D41" s="25">
        <v>85003.0</v>
      </c>
      <c r="E41" s="27" t="s">
        <v>96</v>
      </c>
      <c r="F41" s="28"/>
      <c r="G41" s="28"/>
      <c r="H41" s="28"/>
      <c r="I41" s="28"/>
      <c r="J41" s="28"/>
      <c r="K41" s="28">
        <f t="shared" si="1"/>
        <v>1790304</v>
      </c>
      <c r="L41" s="28" t="str">
        <f t="shared" si="2"/>
        <v>#REF!</v>
      </c>
      <c r="M41" s="28" t="str">
        <f t="shared" si="3"/>
        <v>NA</v>
      </c>
      <c r="N41" s="29" t="str">
        <f t="shared" si="4"/>
        <v/>
      </c>
      <c r="O41" s="28">
        <v>1670163.0</v>
      </c>
      <c r="P41" s="28">
        <v>4099656.0</v>
      </c>
      <c r="Q41" s="28">
        <f t="shared" si="5"/>
        <v>-2429493</v>
      </c>
      <c r="R41" s="29">
        <f t="shared" si="6"/>
        <v>-0.5926089896</v>
      </c>
      <c r="S41" s="30">
        <v>1579621.0</v>
      </c>
      <c r="T41" s="28">
        <v>3766613.0</v>
      </c>
      <c r="U41" s="28">
        <f t="shared" si="7"/>
        <v>-2186992</v>
      </c>
      <c r="V41" s="29">
        <f t="shared" si="8"/>
        <v>-0.5806256178</v>
      </c>
      <c r="W41" s="1"/>
      <c r="X41" s="33"/>
      <c r="Y41" s="33"/>
      <c r="Z41" s="33"/>
      <c r="AA41" s="33">
        <v>1018.0</v>
      </c>
      <c r="AB41" s="33">
        <v>1545752.0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25">
        <v>1012.0</v>
      </c>
      <c r="C42" s="26" t="s">
        <v>97</v>
      </c>
      <c r="D42" s="25">
        <v>85046.0</v>
      </c>
      <c r="E42" s="27" t="s">
        <v>98</v>
      </c>
      <c r="F42" s="28"/>
      <c r="G42" s="28"/>
      <c r="H42" s="28"/>
      <c r="I42" s="28"/>
      <c r="J42" s="28"/>
      <c r="K42" s="28">
        <f t="shared" si="1"/>
        <v>1630757</v>
      </c>
      <c r="L42" s="28" t="str">
        <f t="shared" si="2"/>
        <v>#REF!</v>
      </c>
      <c r="M42" s="28" t="str">
        <f t="shared" si="3"/>
        <v>NA</v>
      </c>
      <c r="N42" s="29" t="str">
        <f t="shared" si="4"/>
        <v/>
      </c>
      <c r="O42" s="28">
        <v>1664676.0</v>
      </c>
      <c r="P42" s="28">
        <v>2951839.0</v>
      </c>
      <c r="Q42" s="28">
        <f t="shared" si="5"/>
        <v>-1287163</v>
      </c>
      <c r="R42" s="29">
        <f t="shared" si="6"/>
        <v>-0.4360546087</v>
      </c>
      <c r="S42" s="30">
        <v>1478603.0</v>
      </c>
      <c r="T42" s="28">
        <v>2330485.0</v>
      </c>
      <c r="U42" s="28">
        <f t="shared" si="7"/>
        <v>-851882</v>
      </c>
      <c r="V42" s="29">
        <f t="shared" si="8"/>
        <v>-0.3655385038</v>
      </c>
      <c r="W42" s="1"/>
      <c r="X42" s="33"/>
      <c r="Y42" s="33"/>
      <c r="Z42" s="33"/>
      <c r="AA42" s="33">
        <v>921.0</v>
      </c>
      <c r="AB42" s="33">
        <v>1566321.0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25">
        <v>921.0</v>
      </c>
      <c r="C43" s="26" t="s">
        <v>99</v>
      </c>
      <c r="D43" s="25">
        <v>85026.0</v>
      </c>
      <c r="E43" s="27" t="s">
        <v>100</v>
      </c>
      <c r="F43" s="28"/>
      <c r="G43" s="28"/>
      <c r="H43" s="28"/>
      <c r="I43" s="28"/>
      <c r="J43" s="28"/>
      <c r="K43" s="28">
        <f t="shared" si="1"/>
        <v>1566321</v>
      </c>
      <c r="L43" s="28" t="str">
        <f t="shared" si="2"/>
        <v>#REF!</v>
      </c>
      <c r="M43" s="28" t="str">
        <f t="shared" si="3"/>
        <v>NA</v>
      </c>
      <c r="N43" s="29" t="str">
        <f t="shared" si="4"/>
        <v/>
      </c>
      <c r="O43" s="28">
        <v>1641799.0</v>
      </c>
      <c r="P43" s="28">
        <v>1730868.0</v>
      </c>
      <c r="Q43" s="28">
        <f t="shared" si="5"/>
        <v>-89069</v>
      </c>
      <c r="R43" s="29">
        <f t="shared" si="6"/>
        <v>-0.05145915229</v>
      </c>
      <c r="S43" s="30">
        <v>1500173.0</v>
      </c>
      <c r="T43" s="28">
        <v>1783491.0</v>
      </c>
      <c r="U43" s="28">
        <f t="shared" si="7"/>
        <v>-283318</v>
      </c>
      <c r="V43" s="29">
        <f t="shared" si="8"/>
        <v>-0.1588558619</v>
      </c>
      <c r="W43" s="1"/>
      <c r="X43" s="33"/>
      <c r="Y43" s="33"/>
      <c r="Z43" s="33"/>
      <c r="AA43" s="33">
        <v>1025.0</v>
      </c>
      <c r="AB43" s="33">
        <v>1476068.0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25">
        <v>1032.0</v>
      </c>
      <c r="C44" s="26" t="s">
        <v>101</v>
      </c>
      <c r="D44" s="25">
        <v>85004.0</v>
      </c>
      <c r="E44" s="27" t="s">
        <v>102</v>
      </c>
      <c r="F44" s="28"/>
      <c r="G44" s="28"/>
      <c r="H44" s="28"/>
      <c r="I44" s="28"/>
      <c r="J44" s="28"/>
      <c r="K44" s="28">
        <f t="shared" si="1"/>
        <v>1538674</v>
      </c>
      <c r="L44" s="28" t="str">
        <f t="shared" si="2"/>
        <v>#REF!</v>
      </c>
      <c r="M44" s="28" t="str">
        <f t="shared" si="3"/>
        <v>NA</v>
      </c>
      <c r="N44" s="29" t="str">
        <f t="shared" si="4"/>
        <v/>
      </c>
      <c r="O44" s="28">
        <v>1580597.0</v>
      </c>
      <c r="P44" s="28">
        <v>6236376.0</v>
      </c>
      <c r="Q44" s="28">
        <f t="shared" si="5"/>
        <v>-4655779</v>
      </c>
      <c r="R44" s="29">
        <f t="shared" si="6"/>
        <v>-0.7465520039</v>
      </c>
      <c r="S44" s="30">
        <v>1573473.0</v>
      </c>
      <c r="T44" s="28">
        <v>6045361.0</v>
      </c>
      <c r="U44" s="28">
        <f t="shared" si="7"/>
        <v>-4471888</v>
      </c>
      <c r="V44" s="29">
        <f t="shared" si="8"/>
        <v>-0.7397222432</v>
      </c>
      <c r="W44" s="1"/>
      <c r="X44" s="33"/>
      <c r="Y44" s="33"/>
      <c r="Z44" s="33"/>
      <c r="AA44" s="33">
        <v>986.0</v>
      </c>
      <c r="AB44" s="33">
        <v>1572933.0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25">
        <v>987.0</v>
      </c>
      <c r="C45" s="26" t="s">
        <v>103</v>
      </c>
      <c r="D45" s="25">
        <v>85012.0</v>
      </c>
      <c r="E45" s="27" t="s">
        <v>104</v>
      </c>
      <c r="F45" s="28"/>
      <c r="G45" s="28"/>
      <c r="H45" s="28"/>
      <c r="I45" s="28"/>
      <c r="J45" s="28"/>
      <c r="K45" s="28">
        <f t="shared" si="1"/>
        <v>1066621</v>
      </c>
      <c r="L45" s="28" t="str">
        <f t="shared" si="2"/>
        <v>#REF!</v>
      </c>
      <c r="M45" s="28" t="str">
        <f t="shared" si="3"/>
        <v>NA</v>
      </c>
      <c r="N45" s="29" t="str">
        <f t="shared" si="4"/>
        <v/>
      </c>
      <c r="O45" s="28">
        <v>1500810.0</v>
      </c>
      <c r="P45" s="28">
        <v>2300453.0</v>
      </c>
      <c r="Q45" s="28">
        <f t="shared" si="5"/>
        <v>-799643</v>
      </c>
      <c r="R45" s="29">
        <f t="shared" si="6"/>
        <v>-0.347602407</v>
      </c>
      <c r="S45" s="30">
        <v>1255253.0</v>
      </c>
      <c r="T45" s="28">
        <v>2077121.0</v>
      </c>
      <c r="U45" s="28">
        <f t="shared" si="7"/>
        <v>-821868</v>
      </c>
      <c r="V45" s="29">
        <f t="shared" si="8"/>
        <v>-0.3956765157</v>
      </c>
      <c r="W45" s="1"/>
      <c r="X45" s="33"/>
      <c r="Y45" s="33"/>
      <c r="Z45" s="33"/>
      <c r="AA45" s="33">
        <v>1012.0</v>
      </c>
      <c r="AB45" s="33">
        <v>1630757.0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25">
        <v>984.0</v>
      </c>
      <c r="C46" s="26" t="s">
        <v>105</v>
      </c>
      <c r="D46" s="25">
        <v>85042.0</v>
      </c>
      <c r="E46" s="27" t="s">
        <v>106</v>
      </c>
      <c r="F46" s="28"/>
      <c r="G46" s="28"/>
      <c r="H46" s="28"/>
      <c r="I46" s="28"/>
      <c r="J46" s="28"/>
      <c r="K46" s="28">
        <f t="shared" si="1"/>
        <v>1312585</v>
      </c>
      <c r="L46" s="28" t="str">
        <f t="shared" si="2"/>
        <v>#REF!</v>
      </c>
      <c r="M46" s="28" t="str">
        <f t="shared" si="3"/>
        <v>NA</v>
      </c>
      <c r="N46" s="29" t="str">
        <f t="shared" si="4"/>
        <v/>
      </c>
      <c r="O46" s="28">
        <v>1470473.0</v>
      </c>
      <c r="P46" s="28">
        <v>2082576.0</v>
      </c>
      <c r="Q46" s="28">
        <f t="shared" si="5"/>
        <v>-612103</v>
      </c>
      <c r="R46" s="29">
        <f t="shared" si="6"/>
        <v>-0.2939162844</v>
      </c>
      <c r="S46" s="30">
        <v>1448620.0</v>
      </c>
      <c r="T46" s="28">
        <v>2035849.0</v>
      </c>
      <c r="U46" s="28">
        <f t="shared" si="7"/>
        <v>-587229</v>
      </c>
      <c r="V46" s="29">
        <f t="shared" si="8"/>
        <v>-0.2884442805</v>
      </c>
      <c r="W46" s="1"/>
      <c r="X46" s="33"/>
      <c r="Y46" s="33"/>
      <c r="Z46" s="33"/>
      <c r="AA46" s="33">
        <v>1032.0</v>
      </c>
      <c r="AB46" s="33">
        <v>1538674.0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25">
        <v>1021.0</v>
      </c>
      <c r="C47" s="26" t="s">
        <v>107</v>
      </c>
      <c r="D47" s="25">
        <v>85022.0</v>
      </c>
      <c r="E47" s="27" t="s">
        <v>108</v>
      </c>
      <c r="F47" s="28"/>
      <c r="G47" s="28"/>
      <c r="H47" s="28"/>
      <c r="I47" s="28"/>
      <c r="J47" s="28"/>
      <c r="K47" s="28">
        <f t="shared" si="1"/>
        <v>1115589</v>
      </c>
      <c r="L47" s="28" t="str">
        <f t="shared" si="2"/>
        <v>#REF!</v>
      </c>
      <c r="M47" s="28" t="str">
        <f t="shared" si="3"/>
        <v>NA</v>
      </c>
      <c r="N47" s="29" t="str">
        <f t="shared" si="4"/>
        <v/>
      </c>
      <c r="O47" s="28">
        <v>1454959.0</v>
      </c>
      <c r="P47" s="28">
        <v>3786452.0</v>
      </c>
      <c r="Q47" s="28">
        <f t="shared" si="5"/>
        <v>-2331493</v>
      </c>
      <c r="R47" s="29">
        <f t="shared" si="6"/>
        <v>-0.6157460863</v>
      </c>
      <c r="S47" s="30">
        <v>1068921.0</v>
      </c>
      <c r="T47" s="28">
        <v>3485788.0</v>
      </c>
      <c r="U47" s="28">
        <f t="shared" si="7"/>
        <v>-2416867</v>
      </c>
      <c r="V47" s="29">
        <f t="shared" si="8"/>
        <v>-0.693348821</v>
      </c>
      <c r="W47" s="1"/>
      <c r="X47" s="33"/>
      <c r="Y47" s="33"/>
      <c r="Z47" s="33"/>
      <c r="AA47" s="33">
        <v>982.0</v>
      </c>
      <c r="AB47" s="33">
        <v>1568824.0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25">
        <v>1017.0</v>
      </c>
      <c r="C48" s="26" t="s">
        <v>109</v>
      </c>
      <c r="D48" s="25">
        <v>85053.0</v>
      </c>
      <c r="E48" s="27" t="s">
        <v>110</v>
      </c>
      <c r="F48" s="28"/>
      <c r="G48" s="28"/>
      <c r="H48" s="28"/>
      <c r="I48" s="28"/>
      <c r="J48" s="28"/>
      <c r="K48" s="28">
        <f t="shared" si="1"/>
        <v>1227708</v>
      </c>
      <c r="L48" s="28" t="str">
        <f t="shared" si="2"/>
        <v>#REF!</v>
      </c>
      <c r="M48" s="28" t="str">
        <f t="shared" si="3"/>
        <v>NA</v>
      </c>
      <c r="N48" s="29" t="str">
        <f t="shared" si="4"/>
        <v/>
      </c>
      <c r="O48" s="28">
        <v>1442271.0</v>
      </c>
      <c r="P48" s="28">
        <v>1586386.0</v>
      </c>
      <c r="Q48" s="28">
        <f t="shared" si="5"/>
        <v>-144115</v>
      </c>
      <c r="R48" s="29">
        <f t="shared" si="6"/>
        <v>-0.09084485113</v>
      </c>
      <c r="S48" s="30">
        <v>1328576.0</v>
      </c>
      <c r="T48" s="28">
        <v>1430418.0</v>
      </c>
      <c r="U48" s="28">
        <f t="shared" si="7"/>
        <v>-101842</v>
      </c>
      <c r="V48" s="29">
        <f t="shared" si="8"/>
        <v>-0.07119737028</v>
      </c>
      <c r="W48" s="1"/>
      <c r="X48" s="33"/>
      <c r="Y48" s="33"/>
      <c r="Z48" s="33"/>
      <c r="AA48" s="33">
        <v>995.0</v>
      </c>
      <c r="AB48" s="33">
        <v>1383312.0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25">
        <v>996.0</v>
      </c>
      <c r="C49" s="26" t="s">
        <v>111</v>
      </c>
      <c r="D49" s="25">
        <v>85092.0</v>
      </c>
      <c r="E49" s="26" t="s">
        <v>112</v>
      </c>
      <c r="F49" s="28"/>
      <c r="G49" s="28"/>
      <c r="H49" s="28"/>
      <c r="I49" s="28"/>
      <c r="J49" s="28"/>
      <c r="K49" s="28">
        <f t="shared" si="1"/>
        <v>1106839</v>
      </c>
      <c r="L49" s="28" t="str">
        <f t="shared" si="2"/>
        <v>#REF!</v>
      </c>
      <c r="M49" s="28" t="str">
        <f t="shared" si="3"/>
        <v>NA</v>
      </c>
      <c r="N49" s="29" t="str">
        <f t="shared" si="4"/>
        <v/>
      </c>
      <c r="O49" s="28">
        <v>1366874.0</v>
      </c>
      <c r="P49" s="28">
        <v>1044958.0</v>
      </c>
      <c r="Q49" s="28">
        <f t="shared" si="5"/>
        <v>321916</v>
      </c>
      <c r="R49" s="29">
        <f t="shared" si="6"/>
        <v>0.3080659701</v>
      </c>
      <c r="S49" s="30">
        <v>1129184.0</v>
      </c>
      <c r="T49" s="28">
        <v>949076.0</v>
      </c>
      <c r="U49" s="28">
        <f t="shared" si="7"/>
        <v>180108</v>
      </c>
      <c r="V49" s="29">
        <f t="shared" si="8"/>
        <v>0.1897719466</v>
      </c>
      <c r="W49" s="1"/>
      <c r="X49" s="33"/>
      <c r="Y49" s="33"/>
      <c r="Z49" s="33"/>
      <c r="AA49" s="33">
        <v>1036.0</v>
      </c>
      <c r="AB49" s="33">
        <v>1431306.0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25">
        <v>958.0</v>
      </c>
      <c r="C50" s="26" t="s">
        <v>113</v>
      </c>
      <c r="D50" s="25">
        <v>85073.0</v>
      </c>
      <c r="E50" s="27" t="s">
        <v>114</v>
      </c>
      <c r="F50" s="28"/>
      <c r="G50" s="28"/>
      <c r="H50" s="28"/>
      <c r="I50" s="28"/>
      <c r="J50" s="28"/>
      <c r="K50" s="28">
        <f t="shared" si="1"/>
        <v>1204955</v>
      </c>
      <c r="L50" s="28" t="str">
        <f t="shared" si="2"/>
        <v>#REF!</v>
      </c>
      <c r="M50" s="28" t="str">
        <f t="shared" si="3"/>
        <v>NA</v>
      </c>
      <c r="N50" s="29" t="str">
        <f t="shared" si="4"/>
        <v/>
      </c>
      <c r="O50" s="28">
        <v>1253534.0</v>
      </c>
      <c r="P50" s="28">
        <v>1910332.0</v>
      </c>
      <c r="Q50" s="28">
        <f t="shared" si="5"/>
        <v>-656798</v>
      </c>
      <c r="R50" s="29">
        <f t="shared" si="6"/>
        <v>-0.3438135361</v>
      </c>
      <c r="S50" s="30">
        <v>1152137.0</v>
      </c>
      <c r="T50" s="28">
        <v>1739258.0</v>
      </c>
      <c r="U50" s="28">
        <f t="shared" si="7"/>
        <v>-587121</v>
      </c>
      <c r="V50" s="29">
        <f t="shared" si="8"/>
        <v>-0.3375698143</v>
      </c>
      <c r="W50" s="1"/>
      <c r="X50" s="33"/>
      <c r="Y50" s="33"/>
      <c r="Z50" s="33"/>
      <c r="AA50" s="33">
        <v>1038.0</v>
      </c>
      <c r="AB50" s="33">
        <v>1369381.0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25">
        <v>1044.0</v>
      </c>
      <c r="C51" s="26" t="s">
        <v>115</v>
      </c>
      <c r="D51" s="25">
        <v>85036.0</v>
      </c>
      <c r="E51" s="27" t="s">
        <v>116</v>
      </c>
      <c r="F51" s="28"/>
      <c r="G51" s="28"/>
      <c r="H51" s="28"/>
      <c r="I51" s="28"/>
      <c r="J51" s="28"/>
      <c r="K51" s="28">
        <f t="shared" si="1"/>
        <v>1071552</v>
      </c>
      <c r="L51" s="28" t="str">
        <f t="shared" si="2"/>
        <v>#REF!</v>
      </c>
      <c r="M51" s="28" t="str">
        <f t="shared" si="3"/>
        <v>NA</v>
      </c>
      <c r="N51" s="29" t="str">
        <f t="shared" si="4"/>
        <v/>
      </c>
      <c r="O51" s="28">
        <v>1180108.0</v>
      </c>
      <c r="P51" s="28">
        <v>2047673.0</v>
      </c>
      <c r="Q51" s="28">
        <f t="shared" si="5"/>
        <v>-867565</v>
      </c>
      <c r="R51" s="29">
        <f t="shared" si="6"/>
        <v>-0.4236833713</v>
      </c>
      <c r="S51" s="30">
        <v>1007414.0</v>
      </c>
      <c r="T51" s="28">
        <v>2004146.0</v>
      </c>
      <c r="U51" s="28">
        <f t="shared" si="7"/>
        <v>-996732</v>
      </c>
      <c r="V51" s="29">
        <f t="shared" si="8"/>
        <v>-0.4973350245</v>
      </c>
      <c r="W51" s="1"/>
      <c r="X51" s="33"/>
      <c r="Y51" s="33"/>
      <c r="Z51" s="33"/>
      <c r="AA51" s="33">
        <v>973.0</v>
      </c>
      <c r="AB51" s="33">
        <v>1339409.0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25">
        <v>998.0</v>
      </c>
      <c r="C52" s="26" t="s">
        <v>117</v>
      </c>
      <c r="D52" s="25">
        <v>85032.0</v>
      </c>
      <c r="E52" s="27" t="s">
        <v>118</v>
      </c>
      <c r="F52" s="28"/>
      <c r="G52" s="28"/>
      <c r="H52" s="28"/>
      <c r="I52" s="28"/>
      <c r="J52" s="28"/>
      <c r="K52" s="28">
        <f t="shared" si="1"/>
        <v>774558</v>
      </c>
      <c r="L52" s="28" t="str">
        <f t="shared" si="2"/>
        <v>#REF!</v>
      </c>
      <c r="M52" s="28" t="str">
        <f t="shared" si="3"/>
        <v>NA</v>
      </c>
      <c r="N52" s="29" t="str">
        <f t="shared" si="4"/>
        <v/>
      </c>
      <c r="O52" s="28">
        <v>1178686.0</v>
      </c>
      <c r="P52" s="28">
        <v>3393837.0</v>
      </c>
      <c r="Q52" s="28">
        <f t="shared" si="5"/>
        <v>-2215151</v>
      </c>
      <c r="R52" s="29">
        <f t="shared" si="6"/>
        <v>-0.6526981113</v>
      </c>
      <c r="S52" s="30">
        <v>874673.0</v>
      </c>
      <c r="T52" s="28">
        <v>2417062.0</v>
      </c>
      <c r="U52" s="28">
        <f t="shared" si="7"/>
        <v>-1542389</v>
      </c>
      <c r="V52" s="29">
        <f t="shared" si="8"/>
        <v>-0.6381255425</v>
      </c>
      <c r="W52" s="1"/>
      <c r="X52" s="33"/>
      <c r="Y52" s="33"/>
      <c r="Z52" s="33"/>
      <c r="AA52" s="33">
        <v>984.0</v>
      </c>
      <c r="AB52" s="33">
        <v>1312585.0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25">
        <v>1055.0</v>
      </c>
      <c r="C53" s="26" t="s">
        <v>119</v>
      </c>
      <c r="D53" s="25">
        <v>85009.0</v>
      </c>
      <c r="E53" s="27" t="s">
        <v>120</v>
      </c>
      <c r="F53" s="28"/>
      <c r="G53" s="28"/>
      <c r="H53" s="28"/>
      <c r="I53" s="28"/>
      <c r="J53" s="28"/>
      <c r="K53" s="28">
        <f t="shared" si="1"/>
        <v>790347</v>
      </c>
      <c r="L53" s="28" t="str">
        <f t="shared" si="2"/>
        <v>#REF!</v>
      </c>
      <c r="M53" s="28" t="str">
        <f t="shared" si="3"/>
        <v>NA</v>
      </c>
      <c r="N53" s="29" t="str">
        <f t="shared" si="4"/>
        <v/>
      </c>
      <c r="O53" s="28">
        <v>1154279.0</v>
      </c>
      <c r="P53" s="28">
        <v>4859046.0</v>
      </c>
      <c r="Q53" s="28">
        <f t="shared" si="5"/>
        <v>-3704767</v>
      </c>
      <c r="R53" s="29">
        <f t="shared" si="6"/>
        <v>-0.7624474022</v>
      </c>
      <c r="S53" s="30">
        <v>838513.0</v>
      </c>
      <c r="T53" s="28">
        <v>3888097.0</v>
      </c>
      <c r="U53" s="28">
        <f t="shared" si="7"/>
        <v>-3049584</v>
      </c>
      <c r="V53" s="29">
        <f t="shared" si="8"/>
        <v>-0.7843384566</v>
      </c>
      <c r="W53" s="1"/>
      <c r="X53" s="33"/>
      <c r="Y53" s="33"/>
      <c r="Z53" s="33"/>
      <c r="AA53" s="33">
        <v>956.0</v>
      </c>
      <c r="AB53" s="33">
        <v>1374697.0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25">
        <v>1033.0</v>
      </c>
      <c r="C54" s="26" t="s">
        <v>121</v>
      </c>
      <c r="D54" s="25">
        <v>85025.0</v>
      </c>
      <c r="E54" s="27" t="s">
        <v>122</v>
      </c>
      <c r="F54" s="28"/>
      <c r="G54" s="28"/>
      <c r="H54" s="28"/>
      <c r="I54" s="28"/>
      <c r="J54" s="28"/>
      <c r="K54" s="28">
        <f t="shared" si="1"/>
        <v>884417</v>
      </c>
      <c r="L54" s="28" t="str">
        <f t="shared" si="2"/>
        <v>#REF!</v>
      </c>
      <c r="M54" s="28" t="str">
        <f t="shared" si="3"/>
        <v>NA</v>
      </c>
      <c r="N54" s="29" t="str">
        <f t="shared" si="4"/>
        <v/>
      </c>
      <c r="O54" s="28">
        <v>1141717.0</v>
      </c>
      <c r="P54" s="28">
        <v>2545267.0</v>
      </c>
      <c r="Q54" s="28">
        <f t="shared" si="5"/>
        <v>-1403550</v>
      </c>
      <c r="R54" s="29">
        <f t="shared" si="6"/>
        <v>-0.5514352718</v>
      </c>
      <c r="S54" s="30">
        <v>863911.0</v>
      </c>
      <c r="T54" s="28">
        <v>1793641.0</v>
      </c>
      <c r="U54" s="28">
        <f t="shared" si="7"/>
        <v>-929730</v>
      </c>
      <c r="V54" s="29">
        <f t="shared" si="8"/>
        <v>-0.5183478745</v>
      </c>
      <c r="W54" s="1"/>
      <c r="X54" s="33"/>
      <c r="Y54" s="33"/>
      <c r="Z54" s="33"/>
      <c r="AA54" s="33">
        <v>1017.0</v>
      </c>
      <c r="AB54" s="33">
        <v>1227708.0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25">
        <v>1040.0</v>
      </c>
      <c r="C55" s="26" t="s">
        <v>123</v>
      </c>
      <c r="D55" s="25">
        <v>85035.0</v>
      </c>
      <c r="E55" s="27" t="s">
        <v>124</v>
      </c>
      <c r="F55" s="28"/>
      <c r="G55" s="28"/>
      <c r="H55" s="28"/>
      <c r="I55" s="28"/>
      <c r="J55" s="28"/>
      <c r="K55" s="28">
        <f t="shared" si="1"/>
        <v>951056</v>
      </c>
      <c r="L55" s="28" t="str">
        <f t="shared" si="2"/>
        <v>#REF!</v>
      </c>
      <c r="M55" s="28" t="str">
        <f t="shared" si="3"/>
        <v>NA</v>
      </c>
      <c r="N55" s="29" t="str">
        <f t="shared" si="4"/>
        <v/>
      </c>
      <c r="O55" s="28">
        <v>1134174.0</v>
      </c>
      <c r="P55" s="28">
        <v>2727598.0</v>
      </c>
      <c r="Q55" s="28">
        <f t="shared" si="5"/>
        <v>-1593424</v>
      </c>
      <c r="R55" s="29">
        <f t="shared" si="6"/>
        <v>-0.5841857928</v>
      </c>
      <c r="S55" s="30">
        <v>893639.0</v>
      </c>
      <c r="T55" s="28">
        <v>2559386.0</v>
      </c>
      <c r="U55" s="28">
        <f t="shared" si="7"/>
        <v>-1665747</v>
      </c>
      <c r="V55" s="29">
        <f t="shared" si="8"/>
        <v>-0.6508385214</v>
      </c>
      <c r="W55" s="1"/>
      <c r="X55" s="33"/>
      <c r="Y55" s="33"/>
      <c r="Z55" s="33"/>
      <c r="AA55" s="33">
        <v>1045.0</v>
      </c>
      <c r="AB55" s="33">
        <v>1369989.0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25">
        <v>997.0</v>
      </c>
      <c r="C56" s="26" t="s">
        <v>125</v>
      </c>
      <c r="D56" s="25">
        <v>85071.0</v>
      </c>
      <c r="E56" s="27" t="s">
        <v>126</v>
      </c>
      <c r="F56" s="28"/>
      <c r="G56" s="28"/>
      <c r="H56" s="28"/>
      <c r="I56" s="28"/>
      <c r="J56" s="28"/>
      <c r="K56" s="28">
        <f t="shared" si="1"/>
        <v>776489</v>
      </c>
      <c r="L56" s="28" t="str">
        <f t="shared" si="2"/>
        <v>#REF!</v>
      </c>
      <c r="M56" s="28" t="str">
        <f t="shared" si="3"/>
        <v>NA</v>
      </c>
      <c r="N56" s="29" t="str">
        <f t="shared" si="4"/>
        <v/>
      </c>
      <c r="O56" s="28">
        <v>1045334.0</v>
      </c>
      <c r="P56" s="28">
        <v>1670743.0</v>
      </c>
      <c r="Q56" s="28">
        <f t="shared" si="5"/>
        <v>-625409</v>
      </c>
      <c r="R56" s="29">
        <f t="shared" si="6"/>
        <v>-0.374329864</v>
      </c>
      <c r="S56" s="30">
        <v>925719.0</v>
      </c>
      <c r="T56" s="28">
        <v>1486049.0</v>
      </c>
      <c r="U56" s="28">
        <f t="shared" si="7"/>
        <v>-560330</v>
      </c>
      <c r="V56" s="29">
        <f t="shared" si="8"/>
        <v>-0.377060245</v>
      </c>
      <c r="W56" s="1"/>
      <c r="X56" s="33"/>
      <c r="Y56" s="33"/>
      <c r="Z56" s="33"/>
      <c r="AA56" s="33">
        <v>1015.0</v>
      </c>
      <c r="AB56" s="33">
        <v>1290221.0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25">
        <v>960.0</v>
      </c>
      <c r="C57" s="26" t="s">
        <v>127</v>
      </c>
      <c r="D57" s="25">
        <v>85021.0</v>
      </c>
      <c r="E57" s="27" t="s">
        <v>128</v>
      </c>
      <c r="F57" s="28"/>
      <c r="G57" s="28"/>
      <c r="H57" s="28"/>
      <c r="I57" s="28"/>
      <c r="J57" s="28"/>
      <c r="K57" s="28">
        <f t="shared" si="1"/>
        <v>788719</v>
      </c>
      <c r="L57" s="28" t="str">
        <f t="shared" si="2"/>
        <v>#REF!</v>
      </c>
      <c r="M57" s="28" t="str">
        <f t="shared" si="3"/>
        <v>NA</v>
      </c>
      <c r="N57" s="29" t="str">
        <f t="shared" si="4"/>
        <v/>
      </c>
      <c r="O57" s="28">
        <v>976222.0</v>
      </c>
      <c r="P57" s="28">
        <v>4279019.0</v>
      </c>
      <c r="Q57" s="28">
        <f t="shared" si="5"/>
        <v>-3302797</v>
      </c>
      <c r="R57" s="29">
        <f t="shared" si="6"/>
        <v>-0.7718584563</v>
      </c>
      <c r="S57" s="30">
        <v>790702.0</v>
      </c>
      <c r="T57" s="28">
        <v>3606014.0</v>
      </c>
      <c r="U57" s="28">
        <f t="shared" si="7"/>
        <v>-2815312</v>
      </c>
      <c r="V57" s="29">
        <f t="shared" si="8"/>
        <v>-0.7807268635</v>
      </c>
      <c r="W57" s="1"/>
      <c r="X57" s="33"/>
      <c r="Y57" s="33"/>
      <c r="Z57" s="33"/>
      <c r="AA57" s="33">
        <v>958.0</v>
      </c>
      <c r="AB57" s="33">
        <v>1204955.0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25">
        <v>1047.0</v>
      </c>
      <c r="C58" s="26" t="s">
        <v>129</v>
      </c>
      <c r="D58" s="25">
        <v>85033.0</v>
      </c>
      <c r="E58" s="27" t="s">
        <v>130</v>
      </c>
      <c r="F58" s="28"/>
      <c r="G58" s="28"/>
      <c r="H58" s="28"/>
      <c r="I58" s="28"/>
      <c r="J58" s="28"/>
      <c r="K58" s="28">
        <f t="shared" si="1"/>
        <v>862415</v>
      </c>
      <c r="L58" s="28" t="str">
        <f t="shared" si="2"/>
        <v>#REF!</v>
      </c>
      <c r="M58" s="28" t="str">
        <f t="shared" si="3"/>
        <v>NA</v>
      </c>
      <c r="N58" s="29" t="str">
        <f t="shared" si="4"/>
        <v/>
      </c>
      <c r="O58" s="28">
        <v>816084.0</v>
      </c>
      <c r="P58" s="28">
        <v>2740247.0</v>
      </c>
      <c r="Q58" s="28">
        <f t="shared" si="5"/>
        <v>-1924163</v>
      </c>
      <c r="R58" s="29">
        <f t="shared" si="6"/>
        <v>-0.7021859708</v>
      </c>
      <c r="S58" s="30">
        <v>626179.0</v>
      </c>
      <c r="T58" s="28">
        <v>2231113.0</v>
      </c>
      <c r="U58" s="28">
        <f t="shared" si="7"/>
        <v>-1604934</v>
      </c>
      <c r="V58" s="29">
        <f t="shared" si="8"/>
        <v>-0.7193423193</v>
      </c>
      <c r="W58" s="1"/>
      <c r="X58" s="33"/>
      <c r="Y58" s="33"/>
      <c r="Z58" s="33"/>
      <c r="AA58" s="33">
        <v>1049.0</v>
      </c>
      <c r="AB58" s="33">
        <v>1236028.0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25">
        <v>953.0</v>
      </c>
      <c r="C59" s="26" t="s">
        <v>131</v>
      </c>
      <c r="D59" s="25">
        <v>85029.0</v>
      </c>
      <c r="E59" s="27" t="s">
        <v>132</v>
      </c>
      <c r="F59" s="28"/>
      <c r="G59" s="28"/>
      <c r="H59" s="28"/>
      <c r="I59" s="28"/>
      <c r="J59" s="28"/>
      <c r="K59" s="28">
        <f t="shared" si="1"/>
        <v>469979</v>
      </c>
      <c r="L59" s="28" t="str">
        <f t="shared" si="2"/>
        <v>#REF!</v>
      </c>
      <c r="M59" s="28" t="str">
        <f t="shared" si="3"/>
        <v>NA</v>
      </c>
      <c r="N59" s="29" t="str">
        <f t="shared" si="4"/>
        <v/>
      </c>
      <c r="O59" s="28">
        <v>605740.0</v>
      </c>
      <c r="P59" s="28">
        <v>1017046.0</v>
      </c>
      <c r="Q59" s="28">
        <f t="shared" si="5"/>
        <v>-411306</v>
      </c>
      <c r="R59" s="29">
        <f t="shared" si="6"/>
        <v>-0.4044123865</v>
      </c>
      <c r="S59" s="30">
        <v>477086.0</v>
      </c>
      <c r="T59" s="28">
        <v>910700.0</v>
      </c>
      <c r="U59" s="28">
        <f t="shared" si="7"/>
        <v>-433614</v>
      </c>
      <c r="V59" s="29">
        <f t="shared" si="8"/>
        <v>-0.4761326452</v>
      </c>
      <c r="W59" s="1"/>
      <c r="X59" s="33"/>
      <c r="Y59" s="33"/>
      <c r="Z59" s="33"/>
      <c r="AA59" s="33">
        <v>1021.0</v>
      </c>
      <c r="AB59" s="33">
        <v>1115589.0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25">
        <v>1060.0</v>
      </c>
      <c r="C60" s="26" t="s">
        <v>133</v>
      </c>
      <c r="D60" s="25">
        <v>85057.0</v>
      </c>
      <c r="E60" s="27" t="s">
        <v>134</v>
      </c>
      <c r="F60" s="28"/>
      <c r="G60" s="28"/>
      <c r="H60" s="28"/>
      <c r="I60" s="28"/>
      <c r="J60" s="28"/>
      <c r="K60" s="28">
        <f t="shared" si="1"/>
        <v>396369</v>
      </c>
      <c r="L60" s="28" t="str">
        <f t="shared" si="2"/>
        <v>#REF!</v>
      </c>
      <c r="M60" s="28" t="str">
        <f t="shared" si="3"/>
        <v>NA</v>
      </c>
      <c r="N60" s="29" t="str">
        <f t="shared" si="4"/>
        <v/>
      </c>
      <c r="O60" s="28">
        <v>605030.0</v>
      </c>
      <c r="P60" s="28">
        <v>1039981.0</v>
      </c>
      <c r="Q60" s="28">
        <f t="shared" si="5"/>
        <v>-434951</v>
      </c>
      <c r="R60" s="29">
        <f t="shared" si="6"/>
        <v>-0.4182297561</v>
      </c>
      <c r="S60" s="30">
        <v>515881.0</v>
      </c>
      <c r="T60" s="28">
        <v>925513.0</v>
      </c>
      <c r="U60" s="28">
        <f t="shared" si="7"/>
        <v>-409632</v>
      </c>
      <c r="V60" s="29">
        <f t="shared" si="8"/>
        <v>-0.4425999419</v>
      </c>
      <c r="W60" s="1"/>
      <c r="X60" s="33"/>
      <c r="Y60" s="33"/>
      <c r="Z60" s="33"/>
      <c r="AA60" s="33">
        <v>1031.0</v>
      </c>
      <c r="AB60" s="33">
        <v>1113837.0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25">
        <v>1068.0</v>
      </c>
      <c r="C61" s="26" t="s">
        <v>135</v>
      </c>
      <c r="D61" s="25">
        <v>85014.0</v>
      </c>
      <c r="E61" s="27" t="s">
        <v>136</v>
      </c>
      <c r="F61" s="35"/>
      <c r="G61" s="35"/>
      <c r="H61" s="35"/>
      <c r="I61" s="35"/>
      <c r="J61" s="35"/>
      <c r="K61" s="35" t="s">
        <v>137</v>
      </c>
      <c r="L61" s="28" t="str">
        <f t="shared" si="2"/>
        <v>#REF!</v>
      </c>
      <c r="M61" s="28" t="str">
        <f t="shared" si="3"/>
        <v>NA</v>
      </c>
      <c r="N61" s="29" t="str">
        <f t="shared" si="4"/>
        <v/>
      </c>
      <c r="O61" s="35">
        <v>0.0</v>
      </c>
      <c r="P61" s="28">
        <v>4774781.0</v>
      </c>
      <c r="Q61" s="28">
        <f t="shared" si="5"/>
        <v>-4774781</v>
      </c>
      <c r="R61" s="29">
        <f t="shared" si="6"/>
        <v>-1</v>
      </c>
      <c r="S61" s="36">
        <v>0.0</v>
      </c>
      <c r="T61" s="28">
        <v>3917777.0</v>
      </c>
      <c r="U61" s="28">
        <f t="shared" si="7"/>
        <v>-3917777</v>
      </c>
      <c r="V61" s="29">
        <f t="shared" si="8"/>
        <v>-1</v>
      </c>
      <c r="W61" s="1"/>
      <c r="X61" s="33"/>
      <c r="Y61" s="33"/>
      <c r="Z61" s="33"/>
      <c r="AA61" s="33">
        <v>996.0</v>
      </c>
      <c r="AB61" s="33">
        <v>1106839.0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37">
        <v>1054.0</v>
      </c>
      <c r="C62" s="38" t="s">
        <v>138</v>
      </c>
      <c r="D62" s="37">
        <v>85084.0</v>
      </c>
      <c r="E62" s="39" t="s">
        <v>139</v>
      </c>
      <c r="F62" s="40"/>
      <c r="G62" s="40"/>
      <c r="H62" s="40"/>
      <c r="I62" s="40"/>
      <c r="J62" s="40"/>
      <c r="K62" s="35" t="s">
        <v>137</v>
      </c>
      <c r="L62" s="41" t="str">
        <f t="shared" si="2"/>
        <v>#REF!</v>
      </c>
      <c r="M62" s="41" t="str">
        <f t="shared" si="3"/>
        <v>NA</v>
      </c>
      <c r="N62" s="42" t="str">
        <f t="shared" si="4"/>
        <v/>
      </c>
      <c r="O62" s="40">
        <v>0.0</v>
      </c>
      <c r="P62" s="41">
        <v>1338227.0</v>
      </c>
      <c r="Q62" s="41">
        <f t="shared" si="5"/>
        <v>-1338227</v>
      </c>
      <c r="R62" s="42">
        <f t="shared" si="6"/>
        <v>-1</v>
      </c>
      <c r="S62" s="43">
        <v>0.0</v>
      </c>
      <c r="T62" s="41">
        <v>1420701.0</v>
      </c>
      <c r="U62" s="41">
        <f t="shared" si="7"/>
        <v>-1420701</v>
      </c>
      <c r="V62" s="42">
        <f t="shared" si="8"/>
        <v>-1</v>
      </c>
      <c r="W62" s="1"/>
      <c r="X62" s="33"/>
      <c r="Y62" s="33"/>
      <c r="Z62" s="33"/>
      <c r="AA62" s="33">
        <v>987.0</v>
      </c>
      <c r="AB62" s="33">
        <v>1066621.0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44">
        <v>1015.0</v>
      </c>
      <c r="C63" s="45" t="s">
        <v>140</v>
      </c>
      <c r="D63" s="44">
        <v>80002.0</v>
      </c>
      <c r="E63" s="45" t="s">
        <v>141</v>
      </c>
      <c r="F63" s="46"/>
      <c r="G63" s="46"/>
      <c r="H63" s="46"/>
      <c r="I63" s="46"/>
      <c r="J63" s="46"/>
      <c r="K63" s="46">
        <f t="array" ref="K63">index(AB:AB,match(B63,AA:AA,0))</f>
        <v>1290221</v>
      </c>
      <c r="L63" s="46" t="str">
        <f t="shared" si="2"/>
        <v>#REF!</v>
      </c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1"/>
      <c r="X63" s="33"/>
      <c r="Y63" s="33"/>
      <c r="Z63" s="33"/>
      <c r="AA63" s="33">
        <v>1044.0</v>
      </c>
      <c r="AB63" s="33">
        <v>1071552.0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48"/>
      <c r="C64" s="11"/>
      <c r="D64" s="48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"/>
      <c r="X64" s="33"/>
      <c r="Y64" s="33"/>
      <c r="Z64" s="33"/>
      <c r="AA64" s="33">
        <v>1041.0</v>
      </c>
      <c r="AB64" s="33">
        <v>1070141.0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2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33"/>
      <c r="Y65" s="33"/>
      <c r="Z65" s="33"/>
      <c r="AA65" s="33">
        <v>967.0</v>
      </c>
      <c r="AB65" s="33">
        <v>1018119.0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2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3"/>
      <c r="Y66" s="33"/>
      <c r="Z66" s="33"/>
      <c r="AA66" s="33">
        <v>1008.0</v>
      </c>
      <c r="AB66" s="33">
        <v>1105761.0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2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3"/>
      <c r="Y67" s="33"/>
      <c r="Z67" s="33"/>
      <c r="AA67" s="33">
        <v>1050.0</v>
      </c>
      <c r="AB67" s="33">
        <v>968790.0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2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3"/>
      <c r="Y68" s="33"/>
      <c r="Z68" s="33"/>
      <c r="AA68" s="33">
        <v>1037.0</v>
      </c>
      <c r="AB68" s="33">
        <v>968598.0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2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3"/>
      <c r="Y69" s="33"/>
      <c r="Z69" s="33"/>
      <c r="AA69" s="33">
        <v>1040.0</v>
      </c>
      <c r="AB69" s="33">
        <v>951056.0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2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3"/>
      <c r="Y70" s="33"/>
      <c r="Z70" s="33"/>
      <c r="AA70" s="33">
        <v>1033.0</v>
      </c>
      <c r="AB70" s="33">
        <v>884417.0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2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3"/>
      <c r="Y71" s="33"/>
      <c r="Z71" s="33"/>
      <c r="AA71" s="33">
        <v>1022.0</v>
      </c>
      <c r="AB71" s="33">
        <v>905941.0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2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3"/>
      <c r="Y72" s="33"/>
      <c r="Z72" s="33"/>
      <c r="AA72" s="33">
        <v>990.0</v>
      </c>
      <c r="AB72" s="33">
        <v>874508.0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2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3"/>
      <c r="Y73" s="33"/>
      <c r="Z73" s="33"/>
      <c r="AA73" s="33">
        <v>1024.0</v>
      </c>
      <c r="AB73" s="33">
        <v>841054.0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2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3"/>
      <c r="Y74" s="33"/>
      <c r="Z74" s="33"/>
      <c r="AA74" s="33">
        <v>1055.0</v>
      </c>
      <c r="AB74" s="33">
        <v>790347.0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2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3"/>
      <c r="Y75" s="33"/>
      <c r="Z75" s="33"/>
      <c r="AA75" s="33">
        <v>960.0</v>
      </c>
      <c r="AB75" s="33">
        <v>788719.0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2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3"/>
      <c r="Y76" s="33"/>
      <c r="Z76" s="33"/>
      <c r="AA76" s="33">
        <v>1002.0</v>
      </c>
      <c r="AB76" s="33">
        <v>870995.0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2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3"/>
      <c r="Y77" s="33"/>
      <c r="Z77" s="33"/>
      <c r="AA77" s="33">
        <v>998.0</v>
      </c>
      <c r="AB77" s="33">
        <v>774558.0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2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3"/>
      <c r="Y78" s="33"/>
      <c r="Z78" s="33"/>
      <c r="AA78" s="33">
        <v>997.0</v>
      </c>
      <c r="AB78" s="33">
        <v>776489.0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2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3"/>
      <c r="Y79" s="33"/>
      <c r="Z79" s="33"/>
      <c r="AA79" s="33">
        <v>1047.0</v>
      </c>
      <c r="AB79" s="33">
        <v>862415.0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2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3"/>
      <c r="Y80" s="33"/>
      <c r="Z80" s="33"/>
      <c r="AA80" s="33">
        <v>1046.0</v>
      </c>
      <c r="AB80" s="33">
        <v>700993.0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2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3"/>
      <c r="Y81" s="33"/>
      <c r="Z81" s="33"/>
      <c r="AA81" s="33">
        <v>1034.0</v>
      </c>
      <c r="AB81" s="33">
        <v>687392.0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2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3"/>
      <c r="Y82" s="33"/>
      <c r="Z82" s="33"/>
      <c r="AA82" s="33">
        <v>943.0</v>
      </c>
      <c r="AB82" s="33">
        <v>642879.0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2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3"/>
      <c r="Y83" s="33"/>
      <c r="Z83" s="33"/>
      <c r="AA83" s="33">
        <v>1057.0</v>
      </c>
      <c r="AB83" s="33">
        <v>535547.0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2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3"/>
      <c r="Y84" s="33"/>
      <c r="Z84" s="33"/>
      <c r="AA84" s="33">
        <v>953.0</v>
      </c>
      <c r="AB84" s="33">
        <v>469979.0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2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3"/>
      <c r="Y85" s="33"/>
      <c r="Z85" s="33"/>
      <c r="AA85" s="33">
        <v>1060.0</v>
      </c>
      <c r="AB85" s="33">
        <v>396369.0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2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3"/>
      <c r="Y86" s="33"/>
      <c r="Z86" s="33"/>
      <c r="AA86" s="33">
        <v>1062.0</v>
      </c>
      <c r="AB86" s="33">
        <v>447517.0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2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2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2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2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2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2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2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2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2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2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2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2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2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2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2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2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2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2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2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2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2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2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2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2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2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2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2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2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2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2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2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2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2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2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2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2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2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2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2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2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2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2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2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2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2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2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2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2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2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2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2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2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2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2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2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2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2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2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2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2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2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2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2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2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2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2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2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2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2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2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2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2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2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2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2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2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2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2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2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2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2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2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2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2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2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2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2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2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2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2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2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2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2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2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2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2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2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2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2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2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2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2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2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2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2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2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2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2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2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2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2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2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2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2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2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2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2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2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2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2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2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2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2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2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2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2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2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2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2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2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2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2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2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2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2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2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2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2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2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2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2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2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2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2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2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2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2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2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2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2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2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2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2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2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2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2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2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2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2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2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2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2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2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2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2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2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2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2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2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2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2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2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2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2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2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2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2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2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2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2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2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2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2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2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2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2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2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2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2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2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2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2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2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2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2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2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2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2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2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2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2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2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2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2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2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2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2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2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2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2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2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2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2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2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2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2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2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2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2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2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2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2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2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2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2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2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2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2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2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2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2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2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2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2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2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2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2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2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2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2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2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2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2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2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2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2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2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2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2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2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2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2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2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2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2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2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2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2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2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2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2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2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2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2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2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2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2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2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2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2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2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2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2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2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2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2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2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2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2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2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2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2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2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2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2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2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2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2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2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2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2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2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2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2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2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2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2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2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2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2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2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2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2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2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2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2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2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2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2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2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2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2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2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2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2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2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2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2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2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2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2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2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2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2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2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2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2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2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2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2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2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2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2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2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2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2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2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2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2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2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2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2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2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2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2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2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2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2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2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2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2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2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2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2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2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2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2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2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2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2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2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2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2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2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2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2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2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2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2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2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2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2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2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2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2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2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2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2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2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2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2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2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2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2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2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2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2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2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2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2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2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2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2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2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2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2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2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2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2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2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2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2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2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2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2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2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2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2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2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2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2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2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2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2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2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2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2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2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2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2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2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2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2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2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2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2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2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2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2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2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2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2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2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2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2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2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2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2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2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2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2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2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2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2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2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2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2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2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2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2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2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2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2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2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2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2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2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2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2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2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2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2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2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2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2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2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2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2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2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2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2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2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2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2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2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2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2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2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2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2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2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2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2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2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2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2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2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2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2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2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2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2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2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2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2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2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2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2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2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2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2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2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2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2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2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2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>
      <c r="A1001" s="1"/>
      <c r="B1001" s="2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>
      <c r="A1002" s="1"/>
      <c r="B1002" s="2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>
      <c r="A1003" s="1"/>
      <c r="B1003" s="2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>
      <c r="A1004" s="1"/>
      <c r="B1004" s="2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>
      <c r="A1005" s="1"/>
      <c r="B1005" s="2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>
      <c r="A1006" s="1"/>
      <c r="B1006" s="2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</sheetData>
  <mergeCells count="6">
    <mergeCell ref="B7:C7"/>
    <mergeCell ref="D7:E7"/>
    <mergeCell ref="K7:N7"/>
    <mergeCell ref="O7:R7"/>
    <mergeCell ref="S7:V7"/>
    <mergeCell ref="F7:J7"/>
  </mergeCells>
  <conditionalFormatting sqref="N9:N62 R9:R62 V9:V62">
    <cfRule type="cellIs" dxfId="0" priority="1" operator="greaterThanOrEqual">
      <formula>0.2</formula>
    </cfRule>
  </conditionalFormatting>
  <conditionalFormatting sqref="N9:N62 R9:R62 V9:V62">
    <cfRule type="cellIs" dxfId="1" priority="2" operator="between">
      <formula>0</formula>
      <formula>0.19999</formula>
    </cfRule>
  </conditionalFormatting>
  <conditionalFormatting sqref="N9:N62 R9:R62 V9:V62">
    <cfRule type="cellIs" dxfId="2" priority="3" operator="between">
      <formula>-0.2</formula>
      <formula>0</formula>
    </cfRule>
  </conditionalFormatting>
  <conditionalFormatting sqref="N9:N62 R9:R62 V9:V62">
    <cfRule type="cellIs" dxfId="3" priority="4" operator="lessThan">
      <formula>-0.2</formula>
    </cfRule>
  </conditionalFormatting>
  <drawing r:id="rId1"/>
</worksheet>
</file>